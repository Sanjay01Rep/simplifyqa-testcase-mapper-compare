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<sst xmlns="http://schemas.openxmlformats.org/spreadsheetml/2006/main" count="165" uniqueCount="66">
  <si>
    <t>General Uganda | SIT (QA) -Module-wise Daily Status</t>
  </si>
  <si>
    <t>Entity</t>
  </si>
  <si>
    <t>Total</t>
  </si>
  <si>
    <t>Passed</t>
  </si>
  <si>
    <t>Failed</t>
  </si>
  <si>
    <t>Blocked</t>
  </si>
  <si>
    <t>In Progress</t>
  </si>
  <si>
    <t>Not Executed</t>
  </si>
  <si>
    <t>Execution %</t>
  </si>
  <si>
    <t>Pass %</t>
  </si>
  <si>
    <t>Status</t>
  </si>
  <si>
    <t>Lead Champion</t>
  </si>
  <si>
    <t>MODULE</t>
  </si>
  <si>
    <t xml:space="preserve">Passed </t>
  </si>
  <si>
    <t xml:space="preserve">Failed </t>
  </si>
  <si>
    <t>Pass Rate</t>
  </si>
  <si>
    <t>General Uganda</t>
  </si>
  <si>
    <t>Amber</t>
  </si>
  <si>
    <t>Margaret Kabuthi</t>
  </si>
  <si>
    <t>Fixed Assets Management</t>
  </si>
  <si>
    <t>▲ 22</t>
  </si>
  <si>
    <t>▼ 4</t>
  </si>
  <si>
    <t>▲ 1</t>
  </si>
  <si>
    <t>▼ 1</t>
  </si>
  <si>
    <t>was 37%</t>
  </si>
  <si>
    <t>was 36%</t>
  </si>
  <si>
    <t>Procurement</t>
  </si>
  <si>
    <t>Life Uganda</t>
  </si>
  <si>
    <t>Cash and Bank Management</t>
  </si>
  <si>
    <t>▲ 27</t>
  </si>
  <si>
    <t>–</t>
  </si>
  <si>
    <t>Mambo Muia</t>
  </si>
  <si>
    <t>Intergations (Footprint)</t>
  </si>
  <si>
    <t>General Tanzania</t>
  </si>
  <si>
    <t>General Ledger</t>
  </si>
  <si>
    <t>▲ 39</t>
  </si>
  <si>
    <t>▼ 9</t>
  </si>
  <si>
    <t>▼ 2</t>
  </si>
  <si>
    <t>was 16%</t>
  </si>
  <si>
    <t>was 13%</t>
  </si>
  <si>
    <t>John Mbatia</t>
  </si>
  <si>
    <t>Tax Management</t>
  </si>
  <si>
    <t>Expense Management</t>
  </si>
  <si>
    <t>Budgeting</t>
  </si>
  <si>
    <t>Accounts Receivable</t>
  </si>
  <si>
    <t>Bernard Towett</t>
  </si>
  <si>
    <t>Accounts Payable</t>
  </si>
  <si>
    <t/>
  </si>
  <si>
    <t xml:space="preserve">Execution Rate </t>
  </si>
  <si>
    <t>Overall Pass Rate</t>
  </si>
  <si>
    <t>Life Uganda | SIT (QA) -Module-wise Daily Status</t>
  </si>
  <si>
    <t>Robert Mkirema</t>
  </si>
  <si>
    <t>Intergations (ILMS)</t>
  </si>
  <si>
    <t>General Tanzania  | SIT (QA) -Module-wise Daily Status</t>
  </si>
  <si>
    <t>Dennis Thea</t>
  </si>
  <si>
    <t xml:space="preserve"> General Uganda Defect Summary</t>
  </si>
  <si>
    <t xml:space="preserve"> Module</t>
  </si>
  <si>
    <t xml:space="preserve">Closed </t>
  </si>
  <si>
    <t>Deferred</t>
  </si>
  <si>
    <t>Fixed</t>
  </si>
  <si>
    <t>Pending</t>
  </si>
  <si>
    <t>Cash &amp; Bank Management</t>
  </si>
  <si>
    <t>Closure Rate</t>
  </si>
  <si>
    <t>Resolution Rate</t>
  </si>
  <si>
    <t xml:space="preserve"> Life Uganda Defect Summary</t>
  </si>
  <si>
    <t xml:space="preserve"> General Tanzania Defect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</si>
</sst>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9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9"/>
      <name val="Calibri"/>
      <charset val="134"/>
      <scheme val="minor"/>
    </font>
    <font>
      <b/>
      <sz val="12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222222"/>
      <name val="Calibri"/>
      <charset val="134"/>
      <scheme val="minor"/>
    </font>
    <font>
      <sz val="9"/>
      <color rgb="FF222222"/>
      <name val="Calibri"/>
      <charset val="134"/>
      <scheme val="minor"/>
    </font>
    <font>
      <b/>
      <sz val="9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sz val="8"/>
      <color rgb="FF2E7D32"/>
      <name val="Calibri"/>
      <charset val="134"/>
      <scheme val="minor"/>
    </font>
    <font>
      <sz val="8"/>
      <color rgb="FFC62828"/>
      <name val="Calibri"/>
      <charset val="134"/>
      <scheme val="minor"/>
    </font>
    <font>
      <sz val="8"/>
      <color rgb="FF888888"/>
      <name val="Calibri"/>
      <charset val="134"/>
      <scheme val="minor"/>
    </font>
    <font>
      <b/>
      <sz val="12"/>
      <color theme="1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0000"/>
      <name val="Aptos Narrow"/>
      <charset val="134"/>
    </font>
    <font>
      <b/>
      <sz val="12"/>
      <color rgb="FF000000"/>
      <name val="Aptos"/>
      <charset val="134"/>
    </font>
    <font>
      <sz val="11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BE5E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25" borderId="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26" borderId="11" applyNumberFormat="0" applyAlignment="0" applyProtection="0">
      <alignment vertical="center"/>
    </xf>
    <xf numFmtId="0" fontId="29" fillId="27" borderId="12" applyNumberFormat="0" applyAlignment="0" applyProtection="0">
      <alignment vertical="center"/>
    </xf>
    <xf numFmtId="0" fontId="30" fillId="27" borderId="11" applyNumberFormat="0" applyAlignment="0" applyProtection="0">
      <alignment vertical="center"/>
    </xf>
    <xf numFmtId="0" fontId="31" fillId="28" borderId="13" applyNumberFormat="0" applyAlignment="0" applyProtection="0">
      <alignment vertical="center"/>
    </xf>
    <xf numFmtId="0" fontId="32" fillId="0" borderId="14" applyNumberFormat="0" applyFill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2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7" fillId="42" borderId="0" applyNumberFormat="0" applyBorder="0" applyAlignment="0" applyProtection="0">
      <alignment vertical="center"/>
    </xf>
    <xf numFmtId="0" fontId="37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7" fillId="46" borderId="0" applyNumberFormat="0" applyBorder="0" applyAlignment="0" applyProtection="0">
      <alignment vertical="center"/>
    </xf>
    <xf numFmtId="0" fontId="37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7" fillId="50" borderId="0" applyNumberFormat="0" applyBorder="0" applyAlignment="0" applyProtection="0">
      <alignment vertical="center"/>
    </xf>
    <xf numFmtId="0" fontId="37" fillId="51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0" fontId="37" fillId="54" borderId="0" applyNumberFormat="0" applyBorder="0" applyAlignment="0" applyProtection="0">
      <alignment vertical="center"/>
    </xf>
  </cellStyleXfs>
  <cellXfs count="78">
    <xf numFmtId="0" fontId="0" fillId="0" borderId="0" xfId="0"/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 readingOrder="1"/>
    </xf>
    <xf numFmtId="0" fontId="3" fillId="6" borderId="3" xfId="0" applyFont="1" applyFill="1" applyBorder="1" applyAlignment="1">
      <alignment horizontal="center" vertical="center" wrapText="1" readingOrder="1"/>
    </xf>
    <xf numFmtId="0" fontId="3" fillId="7" borderId="3" xfId="0" applyFont="1" applyFill="1" applyBorder="1" applyAlignment="1">
      <alignment horizontal="center" vertical="center" wrapText="1" readingOrder="1"/>
    </xf>
    <xf numFmtId="0" fontId="3" fillId="8" borderId="3" xfId="0" applyFont="1" applyFill="1" applyBorder="1" applyAlignment="1">
      <alignment horizontal="center" vertical="center" wrapText="1" readingOrder="1"/>
    </xf>
    <xf numFmtId="0" fontId="3" fillId="9" borderId="3" xfId="0" applyFont="1" applyFill="1" applyBorder="1" applyAlignment="1">
      <alignment horizontal="center" vertical="center" wrapText="1" readingOrder="1"/>
    </xf>
    <xf numFmtId="0" fontId="3" fillId="10" borderId="3" xfId="0" applyFont="1" applyFill="1" applyBorder="1" applyAlignment="1">
      <alignment horizontal="center" vertical="center" wrapText="1" readingOrder="1"/>
    </xf>
    <xf numFmtId="0" fontId="4" fillId="11" borderId="3" xfId="0" applyFont="1" applyFill="1" applyBorder="1" applyAlignment="1">
      <alignment vertical="center"/>
    </xf>
    <xf numFmtId="0" fontId="5" fillId="10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center" wrapText="1"/>
    </xf>
    <xf numFmtId="0" fontId="6" fillId="13" borderId="2" xfId="0" applyFont="1" applyFill="1" applyBorder="1" applyAlignment="1">
      <alignment horizontal="center" wrapText="1"/>
    </xf>
    <xf numFmtId="0" fontId="6" fillId="14" borderId="2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center" wrapText="1"/>
    </xf>
    <xf numFmtId="9" fontId="6" fillId="10" borderId="2" xfId="0" applyNumberFormat="1" applyFont="1" applyFill="1" applyBorder="1" applyAlignment="1">
      <alignment horizont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16" borderId="2" xfId="0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9" fontId="9" fillId="17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wrapText="1"/>
    </xf>
    <xf numFmtId="0" fontId="10" fillId="13" borderId="2" xfId="0" applyFont="1" applyFill="1" applyBorder="1" applyAlignment="1">
      <alignment horizontal="center" wrapText="1"/>
    </xf>
    <xf numFmtId="0" fontId="11" fillId="14" borderId="2" xfId="0" applyFont="1" applyFill="1" applyBorder="1" applyAlignment="1">
      <alignment horizontal="center" wrapText="1"/>
    </xf>
    <xf numFmtId="0" fontId="10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center" wrapText="1"/>
    </xf>
    <xf numFmtId="9" fontId="9" fillId="18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9" fontId="9" fillId="19" borderId="2" xfId="0" applyNumberFormat="1" applyFont="1" applyFill="1" applyBorder="1" applyAlignment="1">
      <alignment horizontal="center" vertical="center"/>
    </xf>
    <xf numFmtId="0" fontId="0" fillId="3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 wrapText="1" readingOrder="1"/>
    </xf>
    <xf numFmtId="0" fontId="3" fillId="6" borderId="2" xfId="0" applyFont="1" applyFill="1" applyBorder="1" applyAlignment="1">
      <alignment horizontal="center" vertical="center" wrapText="1" readingOrder="1"/>
    </xf>
    <xf numFmtId="0" fontId="3" fillId="7" borderId="2" xfId="0" applyFont="1" applyFill="1" applyBorder="1" applyAlignment="1">
      <alignment horizontal="center" vertical="center" wrapText="1" readingOrder="1"/>
    </xf>
    <xf numFmtId="0" fontId="3" fillId="8" borderId="2" xfId="0" applyFont="1" applyFill="1" applyBorder="1" applyAlignment="1">
      <alignment horizontal="center" vertical="center" wrapText="1" readingOrder="1"/>
    </xf>
    <xf numFmtId="0" fontId="3" fillId="9" borderId="2" xfId="0" applyFont="1" applyFill="1" applyBorder="1" applyAlignment="1">
      <alignment horizontal="center" vertical="center" wrapText="1" readingOrder="1"/>
    </xf>
    <xf numFmtId="0" fontId="14" fillId="20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9" fontId="4" fillId="0" borderId="2" xfId="0" applyNumberFormat="1" applyFont="1" applyBorder="1" applyAlignment="1">
      <alignment horizontal="center" vertical="center"/>
    </xf>
    <xf numFmtId="0" fontId="3" fillId="21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22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4" fillId="23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readingOrder="1"/>
    </xf>
    <xf numFmtId="0" fontId="13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 readingOrder="1"/>
    </xf>
    <xf numFmtId="0" fontId="3" fillId="21" borderId="2" xfId="0" applyFont="1" applyFill="1" applyBorder="1" applyAlignment="1">
      <alignment horizontal="center" vertical="center" readingOrder="1"/>
    </xf>
    <xf numFmtId="9" fontId="3" fillId="0" borderId="2" xfId="0" applyNumberFormat="1" applyFont="1" applyBorder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4" fillId="24" borderId="2" xfId="0" applyFont="1" applyFill="1" applyBorder="1" applyAlignment="1">
      <alignment horizontal="center" vertical="center" readingOrder="1"/>
    </xf>
    <xf numFmtId="0" fontId="17" fillId="0" borderId="0" xfId="0" applyFont="1" applyAlignment="1">
      <alignment horizontal="center" vertical="center" readingOrder="1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readingOrder="1"/>
    </xf>
    <xf numFmtId="0" fontId="19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78"/>
  <sheetViews>
    <sheetView tabSelected="1" topLeftCell="G1" workbookViewId="0">
      <selection activeCell="S11" sqref="S11"/>
    </sheetView>
  </sheetViews>
  <sheetFormatPr defaultColWidth="8.88888888888889" defaultRowHeight="14.4" customHeight="1"/>
  <cols>
    <col min="1" max="1" width="17.4444444444444" style="1" customWidth="1"/>
    <col min="2" max="2" width="19.1111111111111" style="1" customWidth="1"/>
    <col min="3" max="3" width="27.8888888888889" style="1" customWidth="1"/>
    <col min="4" max="4" width="8.44444444444444" style="1" customWidth="1"/>
    <col min="5" max="5" width="9.88888888888889" style="1" customWidth="1"/>
    <col min="6" max="6" width="8.11111111111111" style="1" customWidth="1"/>
    <col min="7" max="7" width="11" style="1" customWidth="1"/>
    <col min="8" max="8" width="13.2222222222222" style="1" customWidth="1"/>
    <col min="9" max="9" width="7.25" style="1" customWidth="1"/>
    <col min="10" max="11" width="8.88888888888889" style="1" customWidth="1"/>
    <col min="12" max="12" width="12.8888888888889" style="1" customWidth="1"/>
    <col min="13" max="13" width="10.3333333333333" style="1" customWidth="1"/>
    <col min="14" max="18" width="8.88888888888889" style="1" customWidth="1"/>
    <col min="19" max="19" width="9.77777777777778" style="1" customWidth="1"/>
    <col min="20" max="16383" width="8.88888888888889" style="1" customWidth="1"/>
    <col min="16384" max="16384" width="8.88888888888889" style="1"/>
  </cols>
  <sheetData>
    <row r="2" s="1" customFormat="1" ht="15.6" customHeight="1" spans="1:22">
      <c r="B2" s="2" t="s">
        <v>0</v>
      </c>
      <c r="C2" s="2"/>
      <c r="D2" s="2"/>
      <c r="E2" s="2"/>
      <c r="F2" s="2"/>
      <c r="G2" s="2"/>
      <c r="H2" s="2"/>
      <c r="I2" s="2"/>
      <c r="J2" s="2"/>
      <c r="K2" s="1"/>
      <c r="M2" s="3" t="s">
        <v>1</v>
      </c>
      <c r="N2" s="3" t="s">
        <v>2</v>
      </c>
      <c r="O2" s="3" t="s">
        <v>3</v>
      </c>
      <c r="P2" s="3" t="s">
        <v>4</v>
      </c>
      <c r="Q2" s="3" t="s">
        <v>5</v>
      </c>
      <c r="R2" s="3" t="s">
        <v>6</v>
      </c>
      <c r="S2" s="3" t="s">
        <v>7</v>
      </c>
      <c r="T2" s="3" t="s">
        <v>8</v>
      </c>
      <c r="U2" s="3" t="s">
        <v>9</v>
      </c>
      <c r="V2" s="3" t="s">
        <v>10</v>
      </c>
    </row>
    <row r="3" s="1" customFormat="1" ht="15.6" customHeight="1" spans="1:22">
      <c r="B3" s="4" t="s">
        <v>11</v>
      </c>
      <c r="C3" s="5" t="s">
        <v>12</v>
      </c>
      <c r="D3" s="6" t="s">
        <v>13</v>
      </c>
      <c r="E3" s="7" t="s">
        <v>14</v>
      </c>
      <c r="F3" s="8" t="s">
        <v>5</v>
      </c>
      <c r="G3" s="9" t="s">
        <v>6</v>
      </c>
      <c r="H3" s="10" t="s">
        <v>7</v>
      </c>
      <c r="I3" s="11" t="s">
        <v>2</v>
      </c>
      <c r="J3" s="12" t="s">
        <v>15</v>
      </c>
      <c r="K3" s="1"/>
      <c r="M3" s="13" t="s">
        <v>16</v>
      </c>
      <c r="N3" s="14">
        <v>406</v>
      </c>
      <c r="O3" s="15">
        <v>155</v>
      </c>
      <c r="P3" s="16">
        <v>2</v>
      </c>
      <c r="Q3" s="17">
        <v>34</v>
      </c>
      <c r="R3" s="18">
        <v>4</v>
      </c>
      <c r="S3" s="14">
        <v>211</v>
      </c>
      <c r="T3" s="19">
        <v>0.42</v>
      </c>
      <c r="U3" s="19">
        <v>0.42</v>
      </c>
      <c r="V3" s="20" t="s">
        <v>17</v>
      </c>
    </row>
    <row r="4" s="1" customFormat="1" ht="15.6" customHeight="1" spans="1:22">
      <c r="A4" s="21"/>
      <c r="B4" s="22" t="s">
        <v>18</v>
      </c>
      <c r="C4" s="23" t="s">
        <v>19</v>
      </c>
      <c r="D4" s="24"/>
      <c r="E4" s="24"/>
      <c r="F4" s="24"/>
      <c r="G4" s="24"/>
      <c r="H4" s="24"/>
      <c r="I4" s="25"/>
      <c r="J4" s="26" t="e">
        <f t="shared" ref="J4:J14" si="0">D4/(I4-F4)</f>
        <v>#DIV/0!</v>
      </c>
      <c r="M4" s="13"/>
      <c r="N4" s="14"/>
      <c r="O4" s="27" t="s">
        <v>20</v>
      </c>
      <c r="P4" s="28" t="s">
        <v>21</v>
      </c>
      <c r="Q4" s="29" t="s">
        <v>22</v>
      </c>
      <c r="R4" s="30" t="s">
        <v>23</v>
      </c>
      <c r="S4" s="14"/>
      <c r="T4" s="31" t="s">
        <v>24</v>
      </c>
      <c r="U4" s="31" t="s">
        <v>25</v>
      </c>
      <c r="V4" s="20"/>
    </row>
    <row r="5" s="1" customFormat="1" ht="15.6" customHeight="1" spans="1:22">
      <c r="A5" s="21"/>
      <c r="B5" s="22"/>
      <c r="C5" s="23" t="s">
        <v>26</v>
      </c>
      <c r="D5" s="24"/>
      <c r="E5" s="24"/>
      <c r="F5" s="24"/>
      <c r="G5" s="24"/>
      <c r="H5" s="24"/>
      <c r="I5" s="25"/>
      <c r="J5" s="26" t="e">
        <f t="shared" si="0"/>
        <v>#DIV/0!</v>
      </c>
      <c r="M5" s="13" t="s">
        <v>27</v>
      </c>
      <c r="N5" s="14">
        <v>429</v>
      </c>
      <c r="O5" s="15">
        <v>173</v>
      </c>
      <c r="P5" s="16">
        <v>2</v>
      </c>
      <c r="Q5" s="17">
        <v>21</v>
      </c>
      <c r="R5" s="18">
        <v>1</v>
      </c>
      <c r="S5" s="14">
        <v>232</v>
      </c>
      <c r="T5" s="19">
        <v>0.43</v>
      </c>
      <c r="U5" s="19">
        <v>0.42</v>
      </c>
      <c r="V5" s="20" t="s">
        <v>17</v>
      </c>
    </row>
    <row r="6" s="1" customFormat="1" ht="15.6" customHeight="1" spans="1:22">
      <c r="A6" s="21"/>
      <c r="B6" s="22"/>
      <c r="C6" s="23" t="s">
        <v>28</v>
      </c>
      <c r="D6" s="24"/>
      <c r="E6" s="24"/>
      <c r="F6" s="24"/>
      <c r="G6" s="24"/>
      <c r="H6" s="24"/>
      <c r="I6" s="25"/>
      <c r="J6" s="26" t="e">
        <f t="shared" si="0"/>
        <v>#DIV/0!</v>
      </c>
      <c r="M6" s="13"/>
      <c r="N6" s="14"/>
      <c r="O6" s="27" t="s">
        <v>29</v>
      </c>
      <c r="P6" s="28" t="s">
        <v>23</v>
      </c>
      <c r="Q6" s="29" t="s">
        <v>22</v>
      </c>
      <c r="R6" s="31" t="s">
        <v>30</v>
      </c>
      <c r="S6" s="14"/>
      <c r="T6" s="31" t="s">
        <v>25</v>
      </c>
      <c r="U6" s="31" t="s">
        <v>25</v>
      </c>
      <c r="V6" s="20"/>
    </row>
    <row r="7" s="1" customFormat="1" ht="15.6" customHeight="1" spans="1:22">
      <c r="A7" s="21"/>
      <c r="B7" s="22" t="s">
        <v>31</v>
      </c>
      <c r="C7" s="23" t="s">
        <v>32</v>
      </c>
      <c r="D7" s="24"/>
      <c r="E7" s="24"/>
      <c r="F7" s="24"/>
      <c r="G7" s="24"/>
      <c r="H7" s="24"/>
      <c r="I7" s="25"/>
      <c r="J7" s="32" t="e">
        <f t="shared" si="0"/>
        <v>#DIV/0!</v>
      </c>
      <c r="M7" s="13" t="s">
        <v>33</v>
      </c>
      <c r="N7" s="14">
        <v>416</v>
      </c>
      <c r="O7" s="15">
        <v>89</v>
      </c>
      <c r="P7" s="16">
        <v>2</v>
      </c>
      <c r="Q7" s="17">
        <v>25</v>
      </c>
      <c r="R7" s="18">
        <v>4</v>
      </c>
      <c r="S7" s="14">
        <v>296</v>
      </c>
      <c r="T7" s="19">
        <v>0.23</v>
      </c>
      <c r="U7" s="19">
        <v>0.23</v>
      </c>
      <c r="V7" s="20" t="s">
        <v>17</v>
      </c>
    </row>
    <row r="8" s="1" customFormat="1" ht="15.6" customHeight="1" spans="1:22">
      <c r="A8" s="21"/>
      <c r="B8" s="33" t="s">
        <v>18</v>
      </c>
      <c r="C8" s="23" t="s">
        <v>34</v>
      </c>
      <c r="D8" s="24"/>
      <c r="E8" s="24"/>
      <c r="F8" s="24"/>
      <c r="G8" s="24"/>
      <c r="H8" s="24"/>
      <c r="I8" s="25"/>
      <c r="J8" s="32" t="e">
        <f t="shared" si="0"/>
        <v>#DIV/0!</v>
      </c>
      <c r="M8" s="13"/>
      <c r="N8" s="14"/>
      <c r="O8" s="27" t="s">
        <v>35</v>
      </c>
      <c r="P8" s="28" t="s">
        <v>36</v>
      </c>
      <c r="Q8" s="29" t="s">
        <v>22</v>
      </c>
      <c r="R8" s="30" t="s">
        <v>37</v>
      </c>
      <c r="S8" s="14"/>
      <c r="T8" s="31" t="s">
        <v>38</v>
      </c>
      <c r="U8" s="31" t="s">
        <v>39</v>
      </c>
      <c r="V8" s="20"/>
    </row>
    <row r="9" s="1" customFormat="1" ht="15.6" customHeight="1" spans="1:22">
      <c r="A9" s="21"/>
      <c r="B9" s="22" t="s">
        <v>40</v>
      </c>
      <c r="C9" s="23" t="s">
        <v>41</v>
      </c>
      <c r="D9" s="24"/>
      <c r="E9" s="24"/>
      <c r="F9" s="24"/>
      <c r="G9" s="24"/>
      <c r="H9" s="24"/>
      <c r="I9" s="25"/>
      <c r="J9" s="34" t="e">
        <f t="shared" si="0"/>
        <v>#DIV/0!</v>
      </c>
    </row>
    <row r="10" s="1" customFormat="1" ht="15.6" customHeight="1" spans="1:22">
      <c r="A10" s="21"/>
      <c r="B10" s="22"/>
      <c r="C10" s="23" t="s">
        <v>42</v>
      </c>
      <c r="D10" s="24"/>
      <c r="E10" s="24"/>
      <c r="F10" s="24"/>
      <c r="G10" s="24"/>
      <c r="H10" s="24"/>
      <c r="I10" s="25"/>
      <c r="J10" s="34" t="e">
        <f t="shared" si="0"/>
        <v>#DIV/0!</v>
      </c>
      <c r="M10" s="35"/>
    </row>
    <row r="11" s="1" customFormat="1" ht="15.6" customHeight="1" spans="1:22">
      <c r="A11" s="21"/>
      <c r="B11" s="22"/>
      <c r="C11" s="23" t="s">
        <v>43</v>
      </c>
      <c r="D11" s="24"/>
      <c r="E11" s="24"/>
      <c r="F11" s="24"/>
      <c r="G11" s="24"/>
      <c r="H11" s="24"/>
      <c r="I11" s="25"/>
      <c r="J11" s="34" t="e">
        <f t="shared" si="0"/>
        <v>#DIV/0!</v>
      </c>
    </row>
    <row r="12" s="1" customFormat="1" ht="15.6" customHeight="1" spans="1:22">
      <c r="A12" s="21"/>
      <c r="B12" s="33" t="s">
        <v>18</v>
      </c>
      <c r="C12" s="23" t="s">
        <v>44</v>
      </c>
      <c r="D12" s="24"/>
      <c r="E12" s="24"/>
      <c r="F12" s="24"/>
      <c r="G12" s="24"/>
      <c r="H12" s="24"/>
      <c r="I12" s="25"/>
      <c r="J12" s="34" t="e">
        <f t="shared" si="0"/>
        <v>#DIV/0!</v>
      </c>
    </row>
    <row r="13" s="1" customFormat="1" ht="15.6" customHeight="1" spans="1:22">
      <c r="A13" s="21"/>
      <c r="B13" s="33" t="s">
        <v>45</v>
      </c>
      <c r="C13" s="23" t="s">
        <v>46</v>
      </c>
      <c r="D13" s="24"/>
      <c r="E13" s="24"/>
      <c r="F13" s="24"/>
      <c r="G13" s="24"/>
      <c r="H13" s="24"/>
      <c r="I13" s="25"/>
      <c r="J13" s="34" t="e">
        <f t="shared" si="0"/>
        <v>#DIV/0!</v>
      </c>
    </row>
    <row r="14" s="1" customFormat="1" ht="15.6" customHeight="1" spans="1:22">
      <c r="B14" s="36" t="s">
        <v>47</v>
      </c>
      <c r="C14" s="22" t="s">
        <v>2</v>
      </c>
      <c r="D14" s="37">
        <f t="shared" ref="D14:H14" si="1">SUM(D4:D13)</f>
        <v>0</v>
      </c>
      <c r="E14" s="38">
        <f t="shared" si="1"/>
        <v>0</v>
      </c>
      <c r="F14" s="39">
        <f t="shared" si="1"/>
        <v>0</v>
      </c>
      <c r="G14" s="40">
        <f t="shared" si="1"/>
        <v>0</v>
      </c>
      <c r="H14" s="41">
        <f t="shared" si="1"/>
        <v>0</v>
      </c>
      <c r="I14" s="42">
        <f>SUM(D14:H14)</f>
        <v>0</v>
      </c>
      <c r="J14" s="34" t="e">
        <f t="shared" si="0"/>
        <v>#DIV/0!</v>
      </c>
    </row>
    <row r="15" s="1" customFormat="1" ht="15.6" customHeight="1" spans="1:22">
      <c r="D15" s="43" t="s">
        <v>48</v>
      </c>
      <c r="E15" s="43"/>
      <c r="F15" s="43"/>
      <c r="G15" s="44" t="e">
        <f>(D14+E14)/(I14-F14)</f>
        <v>#DIV/0!</v>
      </c>
      <c r="H15" s="44"/>
      <c r="I15" s="44"/>
    </row>
    <row r="16" s="1" customFormat="1" ht="15.6" customHeight="1" spans="1:22">
      <c r="D16" s="45" t="s">
        <v>49</v>
      </c>
      <c r="E16" s="45"/>
      <c r="F16" s="45"/>
      <c r="G16" s="44" t="e">
        <f>D14/(I14-F14)</f>
        <v>#DIV/0!</v>
      </c>
      <c r="H16" s="44"/>
      <c r="I16" s="44"/>
    </row>
    <row r="19" s="1" customFormat="1" ht="15.6" customHeight="1" spans="2:10">
      <c r="B19" s="2" t="s">
        <v>50</v>
      </c>
      <c r="C19" s="2"/>
      <c r="D19" s="2"/>
      <c r="E19" s="2"/>
      <c r="F19" s="2"/>
      <c r="G19" s="2"/>
      <c r="H19" s="2"/>
      <c r="I19" s="2"/>
      <c r="J19" s="2"/>
    </row>
    <row r="20" s="1" customFormat="1" ht="18" customHeight="1" spans="2:10">
      <c r="B20" s="4" t="s">
        <v>11</v>
      </c>
      <c r="C20" s="5" t="s">
        <v>12</v>
      </c>
      <c r="D20" s="6" t="s">
        <v>13</v>
      </c>
      <c r="E20" s="7" t="s">
        <v>14</v>
      </c>
      <c r="F20" s="8" t="s">
        <v>5</v>
      </c>
      <c r="G20" s="9" t="s">
        <v>6</v>
      </c>
      <c r="H20" s="10" t="s">
        <v>7</v>
      </c>
      <c r="I20" s="11" t="s">
        <v>2</v>
      </c>
      <c r="J20" s="12" t="s">
        <v>15</v>
      </c>
    </row>
    <row r="21" s="1" customFormat="1" ht="15.6" customHeight="1" spans="2:10">
      <c r="B21" s="22" t="s">
        <v>45</v>
      </c>
      <c r="C21" s="23" t="s">
        <v>19</v>
      </c>
      <c r="D21" s="24"/>
      <c r="E21" s="24"/>
      <c r="F21" s="24"/>
      <c r="G21" s="24"/>
      <c r="H21" s="24"/>
      <c r="I21" s="25"/>
      <c r="J21" s="26" t="e">
        <f t="shared" ref="J21:J31" si="2">D21/(I21-F21)</f>
        <v>#DIV/0!</v>
      </c>
    </row>
    <row r="22" s="1" customFormat="1" ht="15.6" customHeight="1" spans="2:10">
      <c r="B22" s="22" t="s">
        <v>51</v>
      </c>
      <c r="C22" s="23" t="s">
        <v>52</v>
      </c>
      <c r="D22" s="24"/>
      <c r="E22" s="24"/>
      <c r="F22" s="24"/>
      <c r="G22" s="24"/>
      <c r="H22" s="24"/>
      <c r="I22" s="25"/>
      <c r="J22" s="26" t="e">
        <f t="shared" si="2"/>
        <v>#DIV/0!</v>
      </c>
    </row>
    <row r="23" s="1" customFormat="1" ht="15.6" customHeight="1" spans="2:10">
      <c r="B23" s="46" t="s">
        <v>45</v>
      </c>
      <c r="C23" s="23" t="s">
        <v>26</v>
      </c>
      <c r="D23" s="24"/>
      <c r="E23" s="24"/>
      <c r="F23" s="24"/>
      <c r="G23" s="24"/>
      <c r="H23" s="24"/>
      <c r="I23" s="25"/>
      <c r="J23" s="26" t="e">
        <f t="shared" si="2"/>
        <v>#DIV/0!</v>
      </c>
    </row>
    <row r="24" s="1" customFormat="1" ht="15.6" customHeight="1" spans="2:10">
      <c r="B24" s="46"/>
      <c r="C24" s="23" t="s">
        <v>28</v>
      </c>
      <c r="D24" s="24"/>
      <c r="E24" s="24"/>
      <c r="F24" s="24"/>
      <c r="G24" s="24"/>
      <c r="H24" s="24"/>
      <c r="I24" s="25"/>
      <c r="J24" s="26" t="e">
        <f t="shared" si="2"/>
        <v>#DIV/0!</v>
      </c>
    </row>
    <row r="25" s="1" customFormat="1" ht="15.6" customHeight="1" spans="2:10">
      <c r="B25" s="46"/>
      <c r="C25" s="23" t="s">
        <v>34</v>
      </c>
      <c r="D25" s="24"/>
      <c r="E25" s="24"/>
      <c r="F25" s="24"/>
      <c r="G25" s="24"/>
      <c r="H25" s="24"/>
      <c r="I25" s="25"/>
      <c r="J25" s="32" t="e">
        <f t="shared" si="2"/>
        <v>#DIV/0!</v>
      </c>
    </row>
    <row r="26" s="1" customFormat="1" ht="15.6" customHeight="1" spans="2:10">
      <c r="B26" s="47" t="s">
        <v>40</v>
      </c>
      <c r="C26" s="23" t="s">
        <v>41</v>
      </c>
      <c r="D26" s="24"/>
      <c r="E26" s="24"/>
      <c r="F26" s="24"/>
      <c r="G26" s="24"/>
      <c r="H26" s="24"/>
      <c r="I26" s="25"/>
      <c r="J26" s="34" t="e">
        <f t="shared" si="2"/>
        <v>#DIV/0!</v>
      </c>
    </row>
    <row r="27" s="1" customFormat="1" ht="15.6" customHeight="1" spans="2:10">
      <c r="B27" s="47"/>
      <c r="C27" s="23" t="s">
        <v>42</v>
      </c>
      <c r="D27" s="24"/>
      <c r="E27" s="24"/>
      <c r="F27" s="24"/>
      <c r="G27" s="24"/>
      <c r="H27" s="24"/>
      <c r="I27" s="25"/>
      <c r="J27" s="34" t="e">
        <f t="shared" si="2"/>
        <v>#DIV/0!</v>
      </c>
    </row>
    <row r="28" s="1" customFormat="1" ht="15.6" customHeight="1" spans="2:10">
      <c r="B28" s="47"/>
      <c r="C28" s="23" t="s">
        <v>43</v>
      </c>
      <c r="D28" s="24"/>
      <c r="E28" s="24"/>
      <c r="F28" s="24"/>
      <c r="G28" s="24"/>
      <c r="H28" s="24"/>
      <c r="I28" s="25"/>
      <c r="J28" s="34" t="e">
        <f t="shared" si="2"/>
        <v>#DIV/0!</v>
      </c>
    </row>
    <row r="29" s="1" customFormat="1" ht="15.6" customHeight="1" spans="2:10">
      <c r="B29" s="22" t="s">
        <v>45</v>
      </c>
      <c r="C29" s="23" t="s">
        <v>46</v>
      </c>
      <c r="D29" s="24"/>
      <c r="E29" s="24"/>
      <c r="F29" s="24"/>
      <c r="G29" s="24"/>
      <c r="H29" s="24"/>
      <c r="I29" s="25"/>
      <c r="J29" s="34" t="e">
        <f t="shared" si="2"/>
        <v>#DIV/0!</v>
      </c>
    </row>
    <row r="30" s="1" customFormat="1" ht="15.6" customHeight="1" spans="2:10">
      <c r="B30" s="33" t="s">
        <v>18</v>
      </c>
      <c r="C30" s="23" t="s">
        <v>44</v>
      </c>
      <c r="D30" s="24"/>
      <c r="E30" s="24"/>
      <c r="F30" s="24"/>
      <c r="G30" s="24"/>
      <c r="H30" s="24"/>
      <c r="I30" s="25"/>
      <c r="J30" s="26" t="e">
        <f t="shared" si="2"/>
        <v>#DIV/0!</v>
      </c>
    </row>
    <row r="31" s="1" customFormat="1" ht="15.6" customHeight="1" spans="2:10">
      <c r="B31" s="48" t="s">
        <v>47</v>
      </c>
      <c r="C31" s="22" t="s">
        <v>2</v>
      </c>
      <c r="D31" s="37">
        <f t="shared" ref="D31:H31" si="3">SUM(D21:D30)</f>
        <v>0</v>
      </c>
      <c r="E31" s="38">
        <f t="shared" si="3"/>
        <v>0</v>
      </c>
      <c r="F31" s="39">
        <f t="shared" si="3"/>
        <v>0</v>
      </c>
      <c r="G31" s="40">
        <f t="shared" si="3"/>
        <v>0</v>
      </c>
      <c r="H31" s="41">
        <f t="shared" si="3"/>
        <v>0</v>
      </c>
      <c r="I31" s="42">
        <f>SUM(D31:H31)</f>
        <v>0</v>
      </c>
      <c r="J31" s="34" t="e">
        <f t="shared" si="2"/>
        <v>#DIV/0!</v>
      </c>
    </row>
    <row r="32" s="1" customFormat="1" ht="15.6" customHeight="1" spans="2:10">
      <c r="D32" s="43" t="s">
        <v>48</v>
      </c>
      <c r="E32" s="43"/>
      <c r="F32" s="43"/>
      <c r="G32" s="44" t="e">
        <f>(D31+E31)/(I31-F31)</f>
        <v>#DIV/0!</v>
      </c>
      <c r="H32" s="44"/>
      <c r="I32" s="44"/>
    </row>
    <row r="33" s="1" customFormat="1" ht="15.6" customHeight="1" spans="2:10">
      <c r="D33" s="45" t="s">
        <v>49</v>
      </c>
      <c r="E33" s="45"/>
      <c r="F33" s="45"/>
      <c r="G33" s="44" t="e">
        <f>D31/(I31-F31)</f>
        <v>#DIV/0!</v>
      </c>
      <c r="H33" s="44"/>
      <c r="I33" s="44"/>
    </row>
    <row r="35" s="1" customFormat="1" ht="15.6" customHeight="1" spans="2:10">
      <c r="B35" s="2" t="s">
        <v>53</v>
      </c>
      <c r="C35" s="2"/>
      <c r="D35" s="2"/>
      <c r="E35" s="2"/>
      <c r="F35" s="2"/>
      <c r="G35" s="2"/>
      <c r="H35" s="2"/>
      <c r="I35" s="2"/>
      <c r="J35" s="2"/>
    </row>
    <row r="36" s="1" customFormat="1" ht="15.6" customHeight="1" spans="2:10">
      <c r="B36" s="4" t="s">
        <v>11</v>
      </c>
      <c r="C36" s="5" t="s">
        <v>12</v>
      </c>
      <c r="D36" s="6" t="s">
        <v>13</v>
      </c>
      <c r="E36" s="7" t="s">
        <v>14</v>
      </c>
      <c r="F36" s="8" t="s">
        <v>5</v>
      </c>
      <c r="G36" s="9" t="s">
        <v>6</v>
      </c>
      <c r="H36" s="10" t="s">
        <v>7</v>
      </c>
      <c r="I36" s="11" t="s">
        <v>2</v>
      </c>
      <c r="J36" s="12" t="s">
        <v>15</v>
      </c>
    </row>
    <row r="37" s="1" customFormat="1" ht="15.6" customHeight="1" spans="2:10">
      <c r="B37" s="46" t="s">
        <v>54</v>
      </c>
      <c r="C37" s="23" t="s">
        <v>19</v>
      </c>
      <c r="D37" s="24"/>
      <c r="E37" s="24"/>
      <c r="F37" s="24"/>
      <c r="G37" s="24"/>
      <c r="H37" s="24"/>
      <c r="I37" s="25"/>
      <c r="J37" s="26" t="e">
        <f t="shared" ref="J37:J47" si="4">D37/(I37-F37)</f>
        <v>#DIV/0!</v>
      </c>
    </row>
    <row r="38" s="1" customFormat="1" ht="15.6" customHeight="1" spans="2:10">
      <c r="B38" s="46"/>
      <c r="C38" s="23" t="s">
        <v>26</v>
      </c>
      <c r="D38" s="24"/>
      <c r="E38" s="24"/>
      <c r="F38" s="24"/>
      <c r="G38" s="24"/>
      <c r="H38" s="24"/>
      <c r="I38" s="25"/>
      <c r="J38" s="26" t="e">
        <f t="shared" si="4"/>
        <v>#DIV/0!</v>
      </c>
    </row>
    <row r="39" s="1" customFormat="1" ht="15.6" customHeight="1" spans="2:10">
      <c r="B39" s="46"/>
      <c r="C39" s="23" t="s">
        <v>28</v>
      </c>
      <c r="D39" s="24"/>
      <c r="E39" s="24"/>
      <c r="F39" s="24"/>
      <c r="G39" s="24"/>
      <c r="H39" s="24"/>
      <c r="I39" s="25"/>
      <c r="J39" s="34" t="e">
        <f t="shared" si="4"/>
        <v>#DIV/0!</v>
      </c>
    </row>
    <row r="40" s="1" customFormat="1" ht="15.6" customHeight="1" spans="2:10">
      <c r="B40" s="22" t="s">
        <v>31</v>
      </c>
      <c r="C40" s="23" t="s">
        <v>32</v>
      </c>
      <c r="D40" s="24"/>
      <c r="E40" s="24"/>
      <c r="F40" s="24"/>
      <c r="G40" s="24"/>
      <c r="H40" s="24"/>
      <c r="I40" s="25"/>
      <c r="J40" s="34" t="e">
        <f t="shared" si="4"/>
        <v>#DIV/0!</v>
      </c>
    </row>
    <row r="41" s="1" customFormat="1" ht="15.6" customHeight="1" spans="2:10">
      <c r="B41" s="33" t="s">
        <v>54</v>
      </c>
      <c r="C41" s="23" t="s">
        <v>34</v>
      </c>
      <c r="D41" s="24"/>
      <c r="E41" s="24"/>
      <c r="F41" s="24"/>
      <c r="G41" s="24"/>
      <c r="H41" s="24"/>
      <c r="I41" s="25"/>
      <c r="J41" s="34" t="e">
        <f t="shared" si="4"/>
        <v>#DIV/0!</v>
      </c>
    </row>
    <row r="42" s="1" customFormat="1" ht="15.6" customHeight="1" spans="2:10">
      <c r="B42" s="47" t="s">
        <v>40</v>
      </c>
      <c r="C42" s="23" t="s">
        <v>41</v>
      </c>
      <c r="D42" s="24"/>
      <c r="E42" s="24"/>
      <c r="F42" s="24"/>
      <c r="G42" s="24"/>
      <c r="H42" s="24"/>
      <c r="I42" s="25"/>
      <c r="J42" s="34" t="e">
        <f t="shared" si="4"/>
        <v>#DIV/0!</v>
      </c>
    </row>
    <row r="43" s="1" customFormat="1" ht="15.6" customHeight="1" spans="2:10">
      <c r="B43" s="47"/>
      <c r="C43" s="23" t="s">
        <v>42</v>
      </c>
      <c r="D43" s="24"/>
      <c r="E43" s="24"/>
      <c r="F43" s="24"/>
      <c r="G43" s="24"/>
      <c r="H43" s="24"/>
      <c r="I43" s="25"/>
      <c r="J43" s="34" t="e">
        <f t="shared" si="4"/>
        <v>#DIV/0!</v>
      </c>
    </row>
    <row r="44" s="1" customFormat="1" ht="15.6" customHeight="1" spans="2:10">
      <c r="B44" s="47"/>
      <c r="C44" s="23" t="s">
        <v>43</v>
      </c>
      <c r="D44" s="24"/>
      <c r="E44" s="24"/>
      <c r="F44" s="24"/>
      <c r="G44" s="24"/>
      <c r="H44" s="24"/>
      <c r="I44" s="25"/>
      <c r="J44" s="34" t="e">
        <f t="shared" si="4"/>
        <v>#DIV/0!</v>
      </c>
    </row>
    <row r="45" s="1" customFormat="1" ht="15.6" customHeight="1" spans="2:10">
      <c r="B45" s="33" t="s">
        <v>45</v>
      </c>
      <c r="C45" s="23" t="s">
        <v>46</v>
      </c>
      <c r="D45" s="24"/>
      <c r="E45" s="24"/>
      <c r="F45" s="24"/>
      <c r="G45" s="24"/>
      <c r="H45" s="24"/>
      <c r="I45" s="25"/>
      <c r="J45" s="34" t="e">
        <f t="shared" si="4"/>
        <v>#DIV/0!</v>
      </c>
    </row>
    <row r="46" s="1" customFormat="1" ht="15.6" customHeight="1" spans="2:10">
      <c r="B46" s="33" t="s">
        <v>18</v>
      </c>
      <c r="C46" s="23" t="s">
        <v>44</v>
      </c>
      <c r="D46" s="24"/>
      <c r="E46" s="24"/>
      <c r="F46" s="24"/>
      <c r="G46" s="24"/>
      <c r="H46" s="24"/>
      <c r="I46" s="25"/>
      <c r="J46" s="34" t="e">
        <f t="shared" si="4"/>
        <v>#DIV/0!</v>
      </c>
    </row>
    <row r="47" s="1" customFormat="1" ht="15.6" customHeight="1" spans="2:10">
      <c r="B47" s="48" t="s">
        <v>47</v>
      </c>
      <c r="C47" s="22" t="s">
        <v>2</v>
      </c>
      <c r="D47" s="37">
        <f t="shared" ref="D47:H47" si="5">SUM(D37:D46)</f>
        <v>0</v>
      </c>
      <c r="E47" s="38">
        <f t="shared" si="5"/>
        <v>0</v>
      </c>
      <c r="F47" s="39">
        <f t="shared" si="5"/>
        <v>0</v>
      </c>
      <c r="G47" s="40">
        <f t="shared" si="5"/>
        <v>0</v>
      </c>
      <c r="H47" s="41">
        <f t="shared" si="5"/>
        <v>0</v>
      </c>
      <c r="I47" s="42">
        <f>SUM(D47:H47)</f>
        <v>0</v>
      </c>
      <c r="J47" s="34" t="e">
        <f t="shared" si="4"/>
        <v>#DIV/0!</v>
      </c>
    </row>
    <row r="48" s="1" customFormat="1" ht="15.6" customHeight="1" spans="2:10">
      <c r="D48" s="43" t="s">
        <v>48</v>
      </c>
      <c r="E48" s="43"/>
      <c r="F48" s="43"/>
      <c r="G48" s="44" t="e">
        <f>(D47+E47)/(I47-F47)</f>
        <v>#DIV/0!</v>
      </c>
      <c r="H48" s="44"/>
      <c r="I48" s="44"/>
    </row>
    <row r="49" s="1" customFormat="1" ht="15.6" customHeight="1" spans="1:9">
      <c r="D49" s="45" t="s">
        <v>49</v>
      </c>
      <c r="E49" s="45"/>
      <c r="F49" s="45"/>
      <c r="G49" s="44" t="e">
        <f>D47/(I47-F47)</f>
        <v>#DIV/0!</v>
      </c>
      <c r="H49" s="44"/>
      <c r="I49" s="44"/>
    </row>
    <row r="50" s="1" customFormat="1" ht="15.6" customHeight="1" spans="1:9">
      <c r="D50" s="49"/>
      <c r="E50" s="49"/>
      <c r="F50" s="49"/>
      <c r="G50" s="50"/>
      <c r="H50" s="50"/>
      <c r="I50" s="50"/>
    </row>
    <row r="51" s="1" customFormat="1" ht="15.6" customHeight="1" spans="1:9">
      <c r="A51" s="1">
        <v>164</v>
      </c>
      <c r="B51" s="51"/>
      <c r="C51" s="52" t="s">
        <v>55</v>
      </c>
      <c r="D51" s="52"/>
      <c r="E51" s="52"/>
      <c r="F51" s="52"/>
      <c r="G51" s="52"/>
      <c r="H51" s="52"/>
    </row>
    <row r="52" s="1" customFormat="1" ht="15.6" customHeight="1" spans="1:9">
      <c r="C52" s="53" t="s">
        <v>56</v>
      </c>
      <c r="D52" s="45" t="s">
        <v>57</v>
      </c>
      <c r="E52" s="54" t="s">
        <v>58</v>
      </c>
      <c r="F52" s="55" t="s">
        <v>59</v>
      </c>
      <c r="G52" s="56" t="s">
        <v>60</v>
      </c>
      <c r="H52" s="57" t="s">
        <v>2</v>
      </c>
    </row>
    <row r="53" s="1" customFormat="1" ht="15.6" customHeight="1" spans="1:9">
      <c r="C53" s="23" t="s">
        <v>19</v>
      </c>
      <c r="D53" s="58"/>
      <c r="E53" s="58"/>
      <c r="F53" s="59"/>
      <c r="G53" s="59"/>
      <c r="H53" s="60">
        <f t="shared" ref="H53:H57" si="6">SUM(D53:G53)</f>
        <v>0</v>
      </c>
    </row>
    <row r="54" s="1" customFormat="1" ht="15.6" customHeight="1" spans="1:9">
      <c r="C54" s="23" t="s">
        <v>26</v>
      </c>
      <c r="D54" s="58"/>
      <c r="E54" s="58"/>
      <c r="F54" s="59"/>
      <c r="G54" s="59"/>
      <c r="H54" s="60">
        <f t="shared" si="6"/>
        <v>0</v>
      </c>
    </row>
    <row r="55" s="1" customFormat="1" ht="15.6" customHeight="1" spans="1:9">
      <c r="C55" s="23" t="s">
        <v>61</v>
      </c>
      <c r="D55" s="58"/>
      <c r="E55" s="58"/>
      <c r="F55" s="59"/>
      <c r="G55" s="59"/>
      <c r="H55" s="60">
        <f t="shared" si="6"/>
        <v>0</v>
      </c>
    </row>
    <row r="56" s="1" customFormat="1" ht="15.6" customHeight="1" spans="1:9">
      <c r="C56" s="23" t="s">
        <v>34</v>
      </c>
      <c r="D56" s="58"/>
      <c r="E56" s="58"/>
      <c r="F56" s="59"/>
      <c r="G56" s="59"/>
      <c r="H56" s="60">
        <f t="shared" si="6"/>
        <v>0</v>
      </c>
    </row>
    <row r="57" s="1" customFormat="1" ht="15.6" customHeight="1" spans="1:9">
      <c r="C57" s="53" t="s">
        <v>2</v>
      </c>
      <c r="D57" s="61">
        <f t="shared" ref="D57:G57" si="7">SUM(D53:D56)</f>
        <v>0</v>
      </c>
      <c r="E57" s="61">
        <f t="shared" si="7"/>
        <v>0</v>
      </c>
      <c r="F57" s="22">
        <f t="shared" si="7"/>
        <v>0</v>
      </c>
      <c r="G57" s="22">
        <f t="shared" si="7"/>
        <v>0</v>
      </c>
      <c r="H57" s="62">
        <f t="shared" si="6"/>
        <v>0</v>
      </c>
    </row>
    <row r="58" s="1" customFormat="1" ht="15.6" customHeight="1" spans="1:9">
      <c r="C58" s="63"/>
      <c r="D58" s="64" t="s">
        <v>62</v>
      </c>
      <c r="E58" s="64"/>
      <c r="F58" s="65" t="e">
        <f>D57/(H57-E57)</f>
        <v>#DIV/0!</v>
      </c>
      <c r="G58" s="65"/>
      <c r="H58" s="66"/>
    </row>
    <row r="59" s="1" customFormat="1" ht="15.6" customHeight="1" spans="1:9">
      <c r="B59" s="67"/>
      <c r="C59" s="67"/>
      <c r="D59" s="68" t="s">
        <v>63</v>
      </c>
      <c r="E59" s="68"/>
      <c r="F59" s="65" t="e">
        <f>(D57+F57)/(H57-E57)</f>
        <v>#DIV/0!</v>
      </c>
      <c r="G59" s="65"/>
    </row>
    <row r="60" s="1" customFormat="1" ht="15.6" customHeight="1" spans="1:9">
      <c r="B60" s="67"/>
      <c r="C60" s="67"/>
      <c r="D60" s="69"/>
      <c r="E60" s="69"/>
      <c r="F60" s="70"/>
      <c r="G60" s="71"/>
    </row>
    <row r="61" s="1" customFormat="1" ht="15.6" customHeight="1" spans="1:9">
      <c r="B61" s="51"/>
      <c r="C61" s="52" t="s">
        <v>64</v>
      </c>
      <c r="D61" s="52"/>
      <c r="E61" s="52"/>
      <c r="F61" s="52"/>
      <c r="G61" s="52"/>
      <c r="H61" s="52"/>
    </row>
    <row r="62" s="1" customFormat="1" ht="15.6" customHeight="1" spans="1:9">
      <c r="B62" s="49"/>
      <c r="C62" s="53" t="s">
        <v>56</v>
      </c>
      <c r="D62" s="45" t="s">
        <v>57</v>
      </c>
      <c r="E62" s="54" t="s">
        <v>58</v>
      </c>
      <c r="F62" s="55" t="s">
        <v>59</v>
      </c>
      <c r="G62" s="56" t="s">
        <v>60</v>
      </c>
      <c r="H62" s="57" t="s">
        <v>2</v>
      </c>
    </row>
    <row r="63" s="1" customFormat="1" ht="15.6" customHeight="1" spans="1:9">
      <c r="B63" s="49"/>
      <c r="C63" s="23" t="s">
        <v>19</v>
      </c>
      <c r="D63" s="72"/>
      <c r="E63" s="72"/>
      <c r="F63" s="72"/>
      <c r="G63" s="72"/>
      <c r="H63" s="73">
        <f t="shared" ref="H63:H67" si="8">SUM(D63:G63)</f>
        <v>0</v>
      </c>
    </row>
    <row r="64" s="1" customFormat="1" ht="15.6" customHeight="1" spans="1:9">
      <c r="B64" s="49"/>
      <c r="C64" s="23" t="s">
        <v>61</v>
      </c>
      <c r="D64" s="72"/>
      <c r="E64" s="72"/>
      <c r="F64" s="72"/>
      <c r="G64" s="72"/>
      <c r="H64" s="73">
        <f t="shared" si="8"/>
        <v>0</v>
      </c>
    </row>
    <row r="65" s="1" customFormat="1" ht="15.6" customHeight="1" spans="2:8">
      <c r="B65" s="49"/>
      <c r="C65" s="23" t="s">
        <v>26</v>
      </c>
      <c r="D65" s="72"/>
      <c r="E65" s="72"/>
      <c r="F65" s="72"/>
      <c r="G65" s="72"/>
      <c r="H65" s="73">
        <f t="shared" si="8"/>
        <v>0</v>
      </c>
    </row>
    <row r="66" s="1" customFormat="1" ht="15.6" customHeight="1" spans="2:8">
      <c r="B66" s="49"/>
      <c r="C66" s="23" t="s">
        <v>34</v>
      </c>
      <c r="D66" s="72"/>
      <c r="E66" s="72"/>
      <c r="F66" s="72"/>
      <c r="G66" s="72"/>
      <c r="H66" s="73">
        <f t="shared" si="8"/>
        <v>0</v>
      </c>
    </row>
    <row r="67" s="1" customFormat="1" ht="15.6" customHeight="1" spans="2:8">
      <c r="B67" s="49"/>
      <c r="C67" s="53" t="s">
        <v>2</v>
      </c>
      <c r="D67" s="74">
        <f t="shared" ref="D67:G67" si="9">SUM(D63:D66)</f>
        <v>0</v>
      </c>
      <c r="E67" s="74">
        <f t="shared" si="9"/>
        <v>0</v>
      </c>
      <c r="F67" s="75">
        <f t="shared" si="9"/>
        <v>0</v>
      </c>
      <c r="G67" s="75">
        <f t="shared" si="9"/>
        <v>0</v>
      </c>
      <c r="H67" s="76">
        <f t="shared" si="8"/>
        <v>0</v>
      </c>
    </row>
    <row r="68" s="1" customFormat="1" ht="15.6" customHeight="1" spans="2:8">
      <c r="B68" s="49"/>
      <c r="C68" s="67"/>
      <c r="D68" s="64" t="s">
        <v>62</v>
      </c>
      <c r="E68" s="64"/>
      <c r="F68" s="65" t="e">
        <f>D67/(H67-E67)</f>
        <v>#DIV/0!</v>
      </c>
      <c r="G68" s="65"/>
      <c r="H68" s="77"/>
    </row>
    <row r="69" s="1" customFormat="1" ht="15.6" customHeight="1" spans="2:8">
      <c r="B69" s="49"/>
      <c r="C69" s="67"/>
      <c r="D69" s="68" t="s">
        <v>63</v>
      </c>
      <c r="E69" s="68"/>
      <c r="F69" s="65" t="e">
        <f>(D67+F67)/(H67-E67)</f>
        <v>#DIV/0!</v>
      </c>
      <c r="G69" s="65"/>
      <c r="H69" s="77"/>
    </row>
    <row r="71" s="1" customFormat="1" ht="15.6" customHeight="1" spans="2:8">
      <c r="C71" s="52" t="s">
        <v>65</v>
      </c>
      <c r="D71" s="52"/>
      <c r="E71" s="52"/>
      <c r="F71" s="52"/>
      <c r="G71" s="52"/>
      <c r="H71" s="52"/>
    </row>
    <row r="72" s="1" customFormat="1" ht="15.6" customHeight="1" spans="2:8">
      <c r="C72" s="53" t="s">
        <v>56</v>
      </c>
      <c r="D72" s="45" t="s">
        <v>57</v>
      </c>
      <c r="E72" s="54" t="s">
        <v>58</v>
      </c>
      <c r="F72" s="55" t="s">
        <v>59</v>
      </c>
      <c r="G72" s="56" t="s">
        <v>60</v>
      </c>
      <c r="H72" s="57" t="s">
        <v>2</v>
      </c>
    </row>
    <row r="73" s="1" customFormat="1" ht="15.6" customHeight="1" spans="2:8">
      <c r="C73" s="23" t="s">
        <v>19</v>
      </c>
      <c r="D73" s="58"/>
      <c r="E73" s="58"/>
      <c r="F73" s="59"/>
      <c r="G73" s="59"/>
      <c r="H73" s="60">
        <f t="shared" ref="H73:H76" si="10">SUM(D73:G73)</f>
        <v>0</v>
      </c>
    </row>
    <row r="74" s="1" customFormat="1" ht="15.6" customHeight="1" spans="2:8">
      <c r="C74" s="23" t="s">
        <v>28</v>
      </c>
      <c r="D74" s="58"/>
      <c r="E74" s="58"/>
      <c r="F74" s="59"/>
      <c r="G74" s="59"/>
      <c r="H74" s="60">
        <f t="shared" si="10"/>
        <v>0</v>
      </c>
    </row>
    <row r="75" s="1" customFormat="1" ht="15.6" customHeight="1" spans="2:8">
      <c r="C75" s="23" t="s">
        <v>26</v>
      </c>
      <c r="D75" s="58"/>
      <c r="E75" s="58"/>
      <c r="F75" s="59"/>
      <c r="G75" s="59"/>
      <c r="H75" s="60">
        <f t="shared" si="10"/>
        <v>0</v>
      </c>
    </row>
    <row r="76" s="1" customFormat="1" ht="15.6" customHeight="1" spans="2:8">
      <c r="C76" s="53" t="s">
        <v>2</v>
      </c>
      <c r="D76" s="61">
        <f t="shared" ref="D76:G76" si="11">SUM(D73:D75)</f>
        <v>0</v>
      </c>
      <c r="E76" s="61">
        <f t="shared" si="11"/>
        <v>0</v>
      </c>
      <c r="F76" s="22">
        <f t="shared" si="11"/>
        <v>0</v>
      </c>
      <c r="G76" s="22">
        <f t="shared" si="11"/>
        <v>0</v>
      </c>
      <c r="H76" s="62">
        <f t="shared" si="10"/>
        <v>0</v>
      </c>
    </row>
    <row r="77" s="1" customFormat="1" ht="16" customHeight="1" spans="2:8">
      <c r="C77" s="63"/>
      <c r="D77" s="64" t="s">
        <v>62</v>
      </c>
      <c r="E77" s="64"/>
      <c r="F77" s="65" t="e">
        <f>D76/(H76-E76)</f>
        <v>#DIV/0!</v>
      </c>
      <c r="G77" s="65"/>
      <c r="H77" s="66"/>
    </row>
    <row r="78" s="1" customFormat="1" ht="15.6" customHeight="1" spans="2:8">
      <c r="C78" s="67"/>
      <c r="D78" s="68" t="s">
        <v>63</v>
      </c>
      <c r="E78" s="68"/>
      <c r="F78" s="65" t="e">
        <f>(D76+F76)/(H76-E76)</f>
        <v>#DIV/0!</v>
      </c>
      <c r="G78" s="65"/>
    </row>
  </sheetData>
  <mergeCells count="48">
    <mergeCell ref="B2:J2"/>
    <mergeCell ref="D15:F15"/>
    <mergeCell ref="G15:I15"/>
    <mergeCell ref="D16:F16"/>
    <mergeCell ref="G16:I16"/>
    <mergeCell ref="B19:J19"/>
    <mergeCell ref="D32:F32"/>
    <mergeCell ref="G32:I32"/>
    <mergeCell ref="D33:F33"/>
    <mergeCell ref="G33:I33"/>
    <mergeCell ref="B35:J35"/>
    <mergeCell ref="D48:F48"/>
    <mergeCell ref="G48:I48"/>
    <mergeCell ref="D49:F49"/>
    <mergeCell ref="G49:I49"/>
    <mergeCell ref="C51:H51"/>
    <mergeCell ref="D58:E58"/>
    <mergeCell ref="F58:G58"/>
    <mergeCell ref="D59:E59"/>
    <mergeCell ref="F59:G59"/>
    <mergeCell ref="C61:H61"/>
    <mergeCell ref="D68:E68"/>
    <mergeCell ref="F68:G68"/>
    <mergeCell ref="D69:E69"/>
    <mergeCell ref="F69:G69"/>
    <mergeCell ref="C71:H71"/>
    <mergeCell ref="D77:E77"/>
    <mergeCell ref="F77:G77"/>
    <mergeCell ref="D78:E78"/>
    <mergeCell ref="F78:G78"/>
    <mergeCell ref="B4:B6"/>
    <mergeCell ref="B9:B11"/>
    <mergeCell ref="B23:B25"/>
    <mergeCell ref="B26:B28"/>
    <mergeCell ref="B37:B39"/>
    <mergeCell ref="B42:B44"/>
    <mergeCell ref="M3:M4"/>
    <mergeCell ref="M5:M6"/>
    <mergeCell ref="M7:M8"/>
    <mergeCell ref="N3:N4"/>
    <mergeCell ref="N5:N6"/>
    <mergeCell ref="N7:N8"/>
    <mergeCell ref="S3:S4"/>
    <mergeCell ref="S5:S6"/>
    <mergeCell ref="S7:S8"/>
    <mergeCell ref="V3:V4"/>
    <mergeCell ref="V5:V6"/>
    <mergeCell ref="V7:V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sanjay.k</dc:creator>
  <cp:lastModifiedBy>WPS_1774380132</cp:lastModifiedBy>
  <dcterms:created xsi:type="dcterms:W3CDTF">2026-08-28T11:32:00Z</dcterms:created>
  <dcterms:modified xsi:type="dcterms:W3CDTF">2026-09-29T05:27:54Z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77BE0A644B994AF9B9EE5ED8701254A8_12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