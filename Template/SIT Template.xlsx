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2188" windowHeight="9000"/>
  </bookViews>
  <sheets>
    <sheet name="Sheet2 (2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<sst xmlns="http://schemas.openxmlformats.org/spreadsheetml/2006/main" count="98" uniqueCount="35">
  <si>
    <t>General Uganda | SIT (QA) -Module-wise Daily Status</t>
  </si>
  <si>
    <t>Lead Champion</t>
  </si>
  <si>
    <t>MODULE</t>
  </si>
  <si>
    <t xml:space="preserve">Passed </t>
  </si>
  <si>
    <t xml:space="preserve">Failed </t>
  </si>
  <si>
    <t>Blocked</t>
  </si>
  <si>
    <t>In Progress</t>
  </si>
  <si>
    <t>Not Executed</t>
  </si>
  <si>
    <t>Total</t>
  </si>
  <si>
    <t>Pass Rate</t>
  </si>
  <si>
    <t>Margaret Kabuthi</t>
  </si>
  <si>
    <t>Fixed Assets Management</t>
  </si>
  <si>
    <t>Procurement</t>
  </si>
  <si>
    <t>Cash and Bank Management</t>
  </si>
  <si>
    <t>Mambo Muia</t>
  </si>
  <si>
    <t>Intergations (Footprint)</t>
  </si>
  <si>
    <t>General Ledger</t>
  </si>
  <si>
    <t xml:space="preserve">Execution Rate </t>
  </si>
  <si>
    <t>Overall Pass Rate</t>
  </si>
  <si>
    <t>Life Uganda | SIT (QA) -Module-wise Daily Status</t>
  </si>
  <si>
    <t>Bernard Towett</t>
  </si>
  <si>
    <t>Robert Mkirema</t>
  </si>
  <si>
    <t>Intergations (ILMS)</t>
  </si>
  <si>
    <t>General Tanzania  | SIT (QA) -Module-wise Daily Status</t>
  </si>
  <si>
    <t>Dennis Thea</t>
  </si>
  <si>
    <t xml:space="preserve"> General Uganda Defect Summary</t>
  </si>
  <si>
    <t xml:space="preserve"> Module</t>
  </si>
  <si>
    <t xml:space="preserve">Closed </t>
  </si>
  <si>
    <t>Deferred</t>
  </si>
  <si>
    <t>Fixed</t>
  </si>
  <si>
    <t>Pending</t>
  </si>
  <si>
    <t>Closure Rate</t>
  </si>
  <si>
    <t>Resolution Rate</t>
  </si>
  <si>
    <t xml:space="preserve"> Life Uganda Defect Summary</t>
  </si>
  <si>
    <t xml:space="preserve"> General Tanzania Defect Summary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</si>
</sst>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35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b/>
      <sz val="12"/>
      <color rgb="FF000000"/>
      <name val="Calibri"/>
      <charset val="134"/>
    </font>
    <font>
      <b/>
      <sz val="11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12"/>
      <color theme="1"/>
      <name val="Calibri"/>
      <charset val="134"/>
    </font>
    <font>
      <b/>
      <sz val="11"/>
      <color rgb="FF000000"/>
      <name val="Calibri"/>
      <charset val="134"/>
    </font>
    <font>
      <sz val="11"/>
      <color rgb="FF000000"/>
      <name val="Calibri"/>
      <charset val="134"/>
    </font>
    <font>
      <sz val="11"/>
      <color rgb="FF000000"/>
      <name val="Aptos Narrow"/>
      <charset val="0"/>
    </font>
    <font>
      <b/>
      <sz val="11"/>
      <color rgb="FF000000"/>
      <name val="Calibri"/>
      <charset val="0"/>
    </font>
    <font>
      <b/>
      <sz val="12"/>
      <color rgb="FF000000"/>
      <name val="Calibri"/>
      <charset val="0"/>
    </font>
    <font>
      <b/>
      <sz val="12"/>
      <color rgb="FF000000"/>
      <name val="Aptos"/>
      <charset val="0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0"/>
      <scheme val="minor"/>
    </font>
    <font>
      <b/>
      <sz val="11"/>
      <color rgb="FF000000"/>
      <name val="Calibri"/>
      <charset val="0"/>
      <scheme val="minor"/>
    </font>
    <font>
      <b/>
      <sz val="12"/>
      <color rgb="FF000000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4B084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8CBAD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9" borderId="10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0" borderId="13" applyNumberFormat="0" applyAlignment="0" applyProtection="0">
      <alignment vertical="center"/>
    </xf>
    <xf numFmtId="0" fontId="25" fillId="21" borderId="14" applyNumberFormat="0" applyAlignment="0" applyProtection="0">
      <alignment vertical="center"/>
    </xf>
    <xf numFmtId="0" fontId="26" fillId="21" borderId="13" applyNumberFormat="0" applyAlignment="0" applyProtection="0">
      <alignment vertical="center"/>
    </xf>
    <xf numFmtId="0" fontId="27" fillId="22" borderId="15" applyNumberFormat="0" applyAlignment="0" applyProtection="0">
      <alignment vertical="center"/>
    </xf>
    <xf numFmtId="0" fontId="28" fillId="0" borderId="16" applyNumberFormat="0" applyFill="0" applyAlignment="0" applyProtection="0">
      <alignment vertical="center"/>
    </xf>
    <xf numFmtId="0" fontId="29" fillId="0" borderId="17" applyNumberFormat="0" applyFill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3" fillId="2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3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3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3" fillId="36" borderId="0" applyNumberFormat="0" applyBorder="0" applyAlignment="0" applyProtection="0">
      <alignment vertical="center"/>
    </xf>
    <xf numFmtId="0" fontId="33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4" fillId="39" borderId="0" applyNumberFormat="0" applyBorder="0" applyAlignment="0" applyProtection="0">
      <alignment vertical="center"/>
    </xf>
    <xf numFmtId="0" fontId="33" fillId="40" borderId="0" applyNumberFormat="0" applyBorder="0" applyAlignment="0" applyProtection="0">
      <alignment vertical="center"/>
    </xf>
    <xf numFmtId="0" fontId="33" fillId="41" borderId="0" applyNumberFormat="0" applyBorder="0" applyAlignment="0" applyProtection="0">
      <alignment vertical="center"/>
    </xf>
    <xf numFmtId="0" fontId="34" fillId="42" borderId="0" applyNumberFormat="0" applyBorder="0" applyAlignment="0" applyProtection="0">
      <alignment vertical="center"/>
    </xf>
    <xf numFmtId="0" fontId="34" fillId="43" borderId="0" applyNumberFormat="0" applyBorder="0" applyAlignment="0" applyProtection="0">
      <alignment vertical="center"/>
    </xf>
    <xf numFmtId="0" fontId="33" fillId="44" borderId="0" applyNumberFormat="0" applyBorder="0" applyAlignment="0" applyProtection="0">
      <alignment vertical="center"/>
    </xf>
    <xf numFmtId="0" fontId="33" fillId="45" borderId="0" applyNumberFormat="0" applyBorder="0" applyAlignment="0" applyProtection="0">
      <alignment vertical="center"/>
    </xf>
    <xf numFmtId="0" fontId="34" fillId="46" borderId="0" applyNumberFormat="0" applyBorder="0" applyAlignment="0" applyProtection="0">
      <alignment vertical="center"/>
    </xf>
    <xf numFmtId="0" fontId="34" fillId="47" borderId="0" applyNumberFormat="0" applyBorder="0" applyAlignment="0" applyProtection="0">
      <alignment vertical="center"/>
    </xf>
    <xf numFmtId="0" fontId="33" fillId="48" borderId="0" applyNumberFormat="0" applyBorder="0" applyAlignment="0" applyProtection="0">
      <alignment vertical="center"/>
    </xf>
  </cellStyleXfs>
  <cellXfs count="76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 wrapText="1" readingOrder="1"/>
    </xf>
    <xf numFmtId="0" fontId="2" fillId="6" borderId="2" xfId="0" applyFont="1" applyFill="1" applyBorder="1" applyAlignment="1">
      <alignment horizontal="center" vertical="center" wrapText="1" readingOrder="1"/>
    </xf>
    <xf numFmtId="0" fontId="2" fillId="7" borderId="2" xfId="0" applyFont="1" applyFill="1" applyBorder="1" applyAlignment="1">
      <alignment horizontal="center" vertical="center" wrapText="1" readingOrder="1"/>
    </xf>
    <xf numFmtId="0" fontId="2" fillId="8" borderId="2" xfId="0" applyFont="1" applyFill="1" applyBorder="1" applyAlignment="1">
      <alignment horizontal="center" vertical="center" wrapText="1" readingOrder="1"/>
    </xf>
    <xf numFmtId="0" fontId="2" fillId="9" borderId="2" xfId="0" applyFont="1" applyFill="1" applyBorder="1" applyAlignment="1">
      <alignment horizontal="center" vertical="center" wrapText="1" readingOrder="1"/>
    </xf>
    <xf numFmtId="0" fontId="2" fillId="10" borderId="2" xfId="0" applyFont="1" applyFill="1" applyBorder="1" applyAlignment="1">
      <alignment horizontal="center" vertical="center" wrapText="1" readingOrder="1"/>
    </xf>
    <xf numFmtId="0" fontId="3" fillId="11" borderId="2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2" fillId="0" borderId="3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4" fillId="0" borderId="0" xfId="0" applyFont="1" applyFill="1" applyAlignment="1">
      <alignment vertical="center"/>
    </xf>
    <xf numFmtId="9" fontId="3" fillId="13" borderId="3" xfId="0" applyNumberFormat="1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2" fillId="5" borderId="3" xfId="0" applyFont="1" applyFill="1" applyBorder="1" applyAlignment="1">
      <alignment horizontal="center" vertical="center" wrapText="1" readingOrder="1"/>
    </xf>
    <xf numFmtId="0" fontId="2" fillId="6" borderId="3" xfId="0" applyFont="1" applyFill="1" applyBorder="1" applyAlignment="1">
      <alignment horizontal="center" vertical="center" wrapText="1" readingOrder="1"/>
    </xf>
    <xf numFmtId="0" fontId="2" fillId="7" borderId="3" xfId="0" applyFont="1" applyFill="1" applyBorder="1" applyAlignment="1">
      <alignment horizontal="center" vertical="center" wrapText="1" readingOrder="1"/>
    </xf>
    <xf numFmtId="0" fontId="2" fillId="8" borderId="3" xfId="0" applyFont="1" applyFill="1" applyBorder="1" applyAlignment="1">
      <alignment horizontal="center" vertical="center" wrapText="1" readingOrder="1"/>
    </xf>
    <xf numFmtId="0" fontId="2" fillId="9" borderId="3" xfId="0" applyFont="1" applyFill="1" applyBorder="1" applyAlignment="1">
      <alignment horizontal="center" vertical="center" wrapText="1" readingOrder="1"/>
    </xf>
    <xf numFmtId="0" fontId="6" fillId="14" borderId="3" xfId="0" applyNumberFormat="1" applyFont="1" applyFill="1" applyBorder="1" applyAlignment="1">
      <alignment horizontal="center" vertical="center"/>
    </xf>
    <xf numFmtId="9" fontId="3" fillId="0" borderId="3" xfId="0" applyNumberFormat="1" applyFont="1" applyFill="1" applyBorder="1" applyAlignment="1">
      <alignment horizontal="center" vertical="center"/>
    </xf>
    <xf numFmtId="0" fontId="2" fillId="13" borderId="3" xfId="0" applyFont="1" applyFill="1" applyBorder="1" applyAlignment="1">
      <alignment horizontal="center" vertical="center"/>
    </xf>
    <xf numFmtId="9" fontId="3" fillId="0" borderId="3" xfId="3" applyNumberFormat="1" applyFont="1" applyBorder="1" applyAlignment="1">
      <alignment horizontal="center" vertical="center"/>
    </xf>
    <xf numFmtId="0" fontId="2" fillId="15" borderId="3" xfId="0" applyFont="1" applyFill="1" applyBorder="1" applyAlignment="1">
      <alignment horizontal="center" vertical="center"/>
    </xf>
    <xf numFmtId="9" fontId="3" fillId="11" borderId="3" xfId="0" applyNumberFormat="1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9" fontId="3" fillId="0" borderId="0" xfId="0" applyNumberFormat="1" applyFont="1" applyFill="1" applyBorder="1" applyAlignment="1">
      <alignment horizontal="center" vertical="center"/>
    </xf>
    <xf numFmtId="9" fontId="3" fillId="0" borderId="0" xfId="0" applyNumberFormat="1" applyFont="1" applyFill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2" fillId="16" borderId="3" xfId="0" applyFont="1" applyFill="1" applyBorder="1" applyAlignment="1">
      <alignment horizontal="center" vertical="center"/>
    </xf>
    <xf numFmtId="0" fontId="2" fillId="4" borderId="3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6" fillId="17" borderId="3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9" fillId="0" borderId="3" xfId="0" applyNumberFormat="1" applyFont="1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10" fillId="0" borderId="3" xfId="0" applyFont="1" applyFill="1" applyBorder="1" applyAlignment="1">
      <alignment horizontal="center" vertical="center" readingOrder="1"/>
    </xf>
    <xf numFmtId="0" fontId="10" fillId="0" borderId="3" xfId="0" applyFont="1" applyFill="1" applyBorder="1" applyAlignment="1">
      <alignment horizontal="center" vertical="center"/>
    </xf>
    <xf numFmtId="0" fontId="5" fillId="0" borderId="3" xfId="0" applyNumberFormat="1" applyFont="1" applyFill="1" applyBorder="1" applyAlignment="1">
      <alignment horizontal="center" vertical="center"/>
    </xf>
    <xf numFmtId="0" fontId="10" fillId="0" borderId="0" xfId="0" applyFont="1" applyFill="1" applyBorder="1" applyAlignment="1">
      <alignment vertical="center" readingOrder="1"/>
    </xf>
    <xf numFmtId="0" fontId="10" fillId="15" borderId="3" xfId="0" applyFont="1" applyFill="1" applyBorder="1" applyAlignment="1">
      <alignment horizontal="center" vertical="center" readingOrder="1"/>
    </xf>
    <xf numFmtId="9" fontId="10" fillId="0" borderId="3" xfId="0" applyNumberFormat="1" applyFont="1" applyFill="1" applyBorder="1" applyAlignment="1">
      <alignment horizontal="center" vertical="center"/>
    </xf>
    <xf numFmtId="10" fontId="5" fillId="0" borderId="0" xfId="0" applyNumberFormat="1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9" fillId="18" borderId="3" xfId="0" applyFont="1" applyFill="1" applyBorder="1" applyAlignment="1">
      <alignment horizontal="center" vertical="center" readingOrder="1"/>
    </xf>
    <xf numFmtId="0" fontId="10" fillId="18" borderId="3" xfId="0" applyFont="1" applyFill="1" applyBorder="1" applyAlignment="1">
      <alignment horizontal="center" vertical="center" readingOrder="1"/>
    </xf>
    <xf numFmtId="0" fontId="11" fillId="0" borderId="0" xfId="0" applyFont="1" applyFill="1" applyAlignment="1">
      <alignment horizontal="center" vertical="center" readingOrder="1"/>
    </xf>
    <xf numFmtId="0" fontId="10" fillId="0" borderId="6" xfId="0" applyFont="1" applyFill="1" applyBorder="1" applyAlignment="1">
      <alignment horizontal="center" vertical="center"/>
    </xf>
    <xf numFmtId="0" fontId="10" fillId="0" borderId="7" xfId="0" applyFont="1" applyFill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3" fillId="0" borderId="3" xfId="0" applyFont="1" applyFill="1" applyBorder="1" applyAlignment="1">
      <alignment horizontal="center" vertical="center"/>
    </xf>
    <xf numFmtId="0" fontId="14" fillId="0" borderId="3" xfId="0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 readingOrder="1"/>
    </xf>
    <xf numFmtId="0" fontId="15" fillId="0" borderId="3" xfId="0" applyNumberFormat="1" applyFont="1" applyFill="1" applyBorder="1" applyAlignment="1">
      <alignment horizontal="center" vertical="center"/>
    </xf>
    <xf numFmtId="0" fontId="15" fillId="0" borderId="3" xfId="0" applyFont="1" applyFill="1" applyBorder="1" applyAlignment="1">
      <alignment horizontal="center" vertical="center"/>
    </xf>
    <xf numFmtId="0" fontId="1" fillId="0" borderId="3" xfId="0" applyNumberFormat="1" applyFont="1" applyFill="1" applyBorder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5" fillId="0" borderId="0" xfId="0" applyNumberFormat="1" applyFont="1" applyFill="1" applyAlignment="1">
      <alignment horizontal="center" vertical="center"/>
    </xf>
    <xf numFmtId="9" fontId="10" fillId="0" borderId="8" xfId="0" applyNumberFormat="1" applyFont="1" applyFill="1" applyBorder="1" applyAlignment="1">
      <alignment horizontal="center" vertical="center"/>
    </xf>
    <xf numFmtId="9" fontId="10" fillId="0" borderId="9" xfId="0" applyNumberFormat="1" applyFont="1" applyFill="1" applyBorder="1" applyAlignment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7"/>
  <sheetViews>
    <sheetView tabSelected="1" workbookViewId="0">
      <selection activeCell="M6" sqref="M6"/>
    </sheetView>
  </sheetViews>
  <sheetFormatPr defaultColWidth="8.88888888888889" defaultRowHeight="14.4"/>
  <cols>
    <col min="1" max="1" width="17.4444444444444" style="1" customWidth="1"/>
    <col min="2" max="2" width="19.1111111111111" style="1" customWidth="1"/>
    <col min="3" max="3" width="27.8888888888889" style="1" customWidth="1"/>
    <col min="4" max="4" width="8.44444444444444" style="1" customWidth="1"/>
    <col min="5" max="5" width="9.88888888888889" style="1" customWidth="1"/>
    <col min="6" max="6" width="8.11111111111111" style="1" customWidth="1"/>
    <col min="7" max="7" width="11" style="1" customWidth="1"/>
    <col min="8" max="8" width="13.2222222222222" style="1" customWidth="1"/>
    <col min="9" max="9" width="7.25" style="1" customWidth="1"/>
    <col min="10" max="10" width="8.88888888888889" style="1" customWidth="1"/>
    <col min="11" max="11" width="8.88888888888889" style="1"/>
    <col min="12" max="12" width="12.8888888888889" style="1"/>
    <col min="13" max="13" width="27.8888888888889" style="1" customWidth="1"/>
    <col min="14" max="16384" width="8.88888888888889" style="1"/>
  </cols>
  <sheetData>
    <row r="1" s="1" customFormat="1" customHeight="1"/>
    <row r="2" s="1" customFormat="1" ht="15.6" customHeight="1" spans="1:10">
      <c r="B2" s="2" t="s">
        <v>0</v>
      </c>
      <c r="C2" s="3"/>
      <c r="D2" s="3"/>
      <c r="E2" s="3"/>
      <c r="F2" s="3"/>
      <c r="G2" s="3"/>
      <c r="H2" s="3"/>
      <c r="I2" s="3"/>
      <c r="J2" s="3"/>
    </row>
    <row r="3" s="1" customFormat="1" ht="15.6" customHeight="1" spans="1:10">
      <c r="B3" s="4" t="s">
        <v>1</v>
      </c>
      <c r="C3" s="5" t="s">
        <v>2</v>
      </c>
      <c r="D3" s="6" t="s">
        <v>3</v>
      </c>
      <c r="E3" s="7" t="s">
        <v>4</v>
      </c>
      <c r="F3" s="8" t="s">
        <v>5</v>
      </c>
      <c r="G3" s="9" t="s">
        <v>6</v>
      </c>
      <c r="H3" s="10" t="s">
        <v>7</v>
      </c>
      <c r="I3" s="11" t="s">
        <v>8</v>
      </c>
      <c r="J3" s="12" t="s">
        <v>9</v>
      </c>
    </row>
    <row r="4" s="1" customFormat="1" ht="15.6" customHeight="1" spans="1:10">
      <c r="A4" s="13"/>
      <c r="B4" s="14" t="s">
        <v>10</v>
      </c>
      <c r="C4" s="15" t="s">
        <v>11</v>
      </c>
      <c r="D4" s="16"/>
      <c r="E4" s="16"/>
      <c r="F4" s="16"/>
      <c r="G4" s="16"/>
      <c r="H4" s="16"/>
      <c r="I4" s="17">
        <f>SUM(D4:H4)</f>
        <v>0</v>
      </c>
      <c r="J4" s="18" t="e">
        <f>D4/(I4-F4)</f>
        <v>#DIV/0!</v>
      </c>
    </row>
    <row r="5" s="1" customFormat="1" ht="15.6" customHeight="1" spans="1:10">
      <c r="A5" s="19"/>
      <c r="B5" s="14"/>
      <c r="C5" s="15" t="s">
        <v>12</v>
      </c>
      <c r="D5" s="16"/>
      <c r="E5" s="16"/>
      <c r="F5" s="16"/>
      <c r="G5" s="16"/>
      <c r="H5" s="16"/>
      <c r="I5" s="17">
        <f>SUM(D5:H5)</f>
        <v>0</v>
      </c>
      <c r="J5" s="20" t="e">
        <f>D5/(I5-F5)</f>
        <v>#DIV/0!</v>
      </c>
    </row>
    <row r="6" s="1" customFormat="1" ht="15.6" customHeight="1" spans="1:10">
      <c r="A6" s="19"/>
      <c r="B6" s="14"/>
      <c r="C6" s="15" t="s">
        <v>13</v>
      </c>
      <c r="D6" s="16"/>
      <c r="E6" s="16"/>
      <c r="F6" s="16"/>
      <c r="G6" s="16"/>
      <c r="H6" s="16"/>
      <c r="I6" s="17">
        <f>SUM(D6:H6)</f>
        <v>0</v>
      </c>
      <c r="J6" s="20" t="e">
        <f>D6/(I6-F6)</f>
        <v>#DIV/0!</v>
      </c>
    </row>
    <row r="7" s="1" customFormat="1" ht="15.6" customHeight="1" spans="1:10">
      <c r="A7" s="19"/>
      <c r="B7" s="14" t="s">
        <v>14</v>
      </c>
      <c r="C7" s="15" t="s">
        <v>15</v>
      </c>
      <c r="D7" s="16"/>
      <c r="E7" s="16"/>
      <c r="F7" s="16"/>
      <c r="G7" s="16"/>
      <c r="H7" s="16"/>
      <c r="I7" s="17"/>
      <c r="J7" s="20"/>
    </row>
    <row r="8" s="1" customFormat="1" ht="15.6" customHeight="1" spans="1:10">
      <c r="A8" s="19"/>
      <c r="B8" s="21" t="s">
        <v>10</v>
      </c>
      <c r="C8" s="15" t="s">
        <v>16</v>
      </c>
      <c r="D8" s="16"/>
      <c r="E8" s="16"/>
      <c r="F8" s="16"/>
      <c r="G8" s="16"/>
      <c r="H8" s="16"/>
      <c r="I8" s="17">
        <f>SUM(D8:H8)</f>
        <v>0</v>
      </c>
      <c r="J8" s="18" t="e">
        <f>D8/(I8-F8)</f>
        <v>#DIV/0!</v>
      </c>
    </row>
    <row r="9" s="1" customFormat="1" ht="15.6" customHeight="1" spans="1:10">
      <c r="B9" s="22"/>
      <c r="C9" s="14" t="s">
        <v>8</v>
      </c>
      <c r="D9" s="23">
        <f t="shared" ref="D9:I9" si="0">SUM(D4:D8)</f>
        <v>0</v>
      </c>
      <c r="E9" s="24">
        <f t="shared" si="0"/>
        <v>0</v>
      </c>
      <c r="F9" s="25">
        <f t="shared" si="0"/>
        <v>0</v>
      </c>
      <c r="G9" s="26">
        <f t="shared" si="0"/>
        <v>0</v>
      </c>
      <c r="H9" s="27">
        <f t="shared" si="0"/>
        <v>0</v>
      </c>
      <c r="I9" s="28">
        <f t="shared" si="0"/>
        <v>0</v>
      </c>
      <c r="J9" s="29" t="e">
        <f>D9/(I9-F9)</f>
        <v>#DIV/0!</v>
      </c>
    </row>
    <row r="10" s="1" customFormat="1" ht="15.6" spans="1:10">
      <c r="D10" s="30" t="s">
        <v>17</v>
      </c>
      <c r="E10" s="30"/>
      <c r="F10" s="30"/>
      <c r="G10" s="31" t="e">
        <f>(D9+E9)/(I9-F9)</f>
        <v>#DIV/0!</v>
      </c>
      <c r="H10" s="31"/>
      <c r="I10" s="31"/>
    </row>
    <row r="11" s="1" customFormat="1" ht="15.6" spans="1:10">
      <c r="D11" s="32" t="s">
        <v>18</v>
      </c>
      <c r="E11" s="32"/>
      <c r="F11" s="32"/>
      <c r="G11" s="29" t="e">
        <f>D9/(I9-F9)</f>
        <v>#DIV/0!</v>
      </c>
      <c r="H11" s="29"/>
      <c r="I11" s="29"/>
    </row>
    <row r="14" s="1" customFormat="1" ht="15.6" spans="1:10">
      <c r="B14" s="2" t="s">
        <v>19</v>
      </c>
      <c r="C14" s="3"/>
      <c r="D14" s="3"/>
      <c r="E14" s="3"/>
      <c r="F14" s="3"/>
      <c r="G14" s="3"/>
      <c r="H14" s="3"/>
      <c r="I14" s="3"/>
      <c r="J14" s="3"/>
    </row>
    <row r="15" s="1" customFormat="1" ht="18" customHeight="1" spans="1:10">
      <c r="B15" s="4" t="s">
        <v>1</v>
      </c>
      <c r="C15" s="5" t="s">
        <v>2</v>
      </c>
      <c r="D15" s="6" t="s">
        <v>3</v>
      </c>
      <c r="E15" s="7" t="s">
        <v>4</v>
      </c>
      <c r="F15" s="8" t="s">
        <v>5</v>
      </c>
      <c r="G15" s="9" t="s">
        <v>6</v>
      </c>
      <c r="H15" s="10" t="s">
        <v>7</v>
      </c>
      <c r="I15" s="11" t="s">
        <v>8</v>
      </c>
      <c r="J15" s="12" t="s">
        <v>9</v>
      </c>
    </row>
    <row r="16" s="1" customFormat="1" ht="15.6" spans="1:10">
      <c r="B16" s="14" t="s">
        <v>20</v>
      </c>
      <c r="C16" s="15" t="s">
        <v>11</v>
      </c>
      <c r="D16" s="16"/>
      <c r="E16" s="16"/>
      <c r="F16" s="16"/>
      <c r="G16" s="16"/>
      <c r="H16" s="16"/>
      <c r="I16" s="17">
        <f t="shared" ref="I16:I20" si="1">SUM(D16:H16)</f>
        <v>0</v>
      </c>
      <c r="J16" s="20" t="e">
        <f t="shared" ref="J16:J21" si="2">D16/(I16-F16)</f>
        <v>#DIV/0!</v>
      </c>
    </row>
    <row r="17" s="1" customFormat="1" ht="15.6" spans="2:10">
      <c r="B17" s="14" t="s">
        <v>21</v>
      </c>
      <c r="C17" s="15" t="s">
        <v>22</v>
      </c>
      <c r="D17" s="16"/>
      <c r="E17" s="16"/>
      <c r="F17" s="16"/>
      <c r="G17" s="16"/>
      <c r="H17" s="16"/>
      <c r="I17" s="17">
        <f t="shared" si="1"/>
        <v>0</v>
      </c>
      <c r="J17" s="33" t="e">
        <f t="shared" si="2"/>
        <v>#DIV/0!</v>
      </c>
    </row>
    <row r="18" s="1" customFormat="1" ht="15.6" spans="2:10">
      <c r="B18" s="34" t="s">
        <v>20</v>
      </c>
      <c r="C18" s="15" t="s">
        <v>12</v>
      </c>
      <c r="D18" s="16"/>
      <c r="E18" s="16"/>
      <c r="F18" s="16"/>
      <c r="G18" s="16"/>
      <c r="H18" s="16"/>
      <c r="I18" s="17">
        <f t="shared" si="1"/>
        <v>0</v>
      </c>
      <c r="J18" s="18" t="e">
        <f t="shared" si="2"/>
        <v>#DIV/0!</v>
      </c>
    </row>
    <row r="19" s="1" customFormat="1" ht="15.6" spans="2:10">
      <c r="B19" s="35"/>
      <c r="C19" s="15" t="s">
        <v>13</v>
      </c>
      <c r="D19" s="16"/>
      <c r="E19" s="16"/>
      <c r="F19" s="16"/>
      <c r="G19" s="16"/>
      <c r="H19" s="16"/>
      <c r="I19" s="17">
        <f t="shared" si="1"/>
        <v>0</v>
      </c>
      <c r="J19" s="20" t="e">
        <f t="shared" si="2"/>
        <v>#DIV/0!</v>
      </c>
    </row>
    <row r="20" s="1" customFormat="1" ht="15.6" spans="2:10">
      <c r="B20" s="21"/>
      <c r="C20" s="15" t="s">
        <v>16</v>
      </c>
      <c r="D20" s="16"/>
      <c r="E20" s="16"/>
      <c r="F20" s="16"/>
      <c r="G20" s="16"/>
      <c r="H20" s="16"/>
      <c r="I20" s="17">
        <f t="shared" si="1"/>
        <v>0</v>
      </c>
      <c r="J20" s="18" t="e">
        <f t="shared" si="2"/>
        <v>#DIV/0!</v>
      </c>
    </row>
    <row r="21" s="1" customFormat="1" ht="15.6" spans="2:10">
      <c r="B21" s="36"/>
      <c r="C21" s="14" t="s">
        <v>8</v>
      </c>
      <c r="D21" s="23">
        <f t="shared" ref="D21:I21" si="3">SUM(D16:D20)</f>
        <v>0</v>
      </c>
      <c r="E21" s="24">
        <f t="shared" si="3"/>
        <v>0</v>
      </c>
      <c r="F21" s="25">
        <f t="shared" si="3"/>
        <v>0</v>
      </c>
      <c r="G21" s="26">
        <f t="shared" si="3"/>
        <v>0</v>
      </c>
      <c r="H21" s="27">
        <f t="shared" si="3"/>
        <v>0</v>
      </c>
      <c r="I21" s="28">
        <f t="shared" si="3"/>
        <v>0</v>
      </c>
      <c r="J21" s="29" t="e">
        <f t="shared" si="2"/>
        <v>#DIV/0!</v>
      </c>
    </row>
    <row r="22" s="1" customFormat="1" ht="15.6" spans="2:10">
      <c r="D22" s="30" t="s">
        <v>17</v>
      </c>
      <c r="E22" s="30"/>
      <c r="F22" s="30"/>
      <c r="G22" s="31" t="e">
        <f>(D21+E21)/(I21-F21)</f>
        <v>#DIV/0!</v>
      </c>
      <c r="H22" s="31"/>
      <c r="I22" s="31"/>
    </row>
    <row r="23" s="1" customFormat="1" ht="15.6" spans="2:10">
      <c r="D23" s="32" t="s">
        <v>18</v>
      </c>
      <c r="E23" s="32"/>
      <c r="F23" s="32"/>
      <c r="G23" s="29" t="e">
        <f>D21/(I21-F21)</f>
        <v>#DIV/0!</v>
      </c>
      <c r="H23" s="29"/>
      <c r="I23" s="29"/>
    </row>
    <row r="25" s="1" customFormat="1" ht="15.6" spans="2:10">
      <c r="B25" s="2" t="s">
        <v>23</v>
      </c>
      <c r="C25" s="3"/>
      <c r="D25" s="3"/>
      <c r="E25" s="3"/>
      <c r="F25" s="3"/>
      <c r="G25" s="3"/>
      <c r="H25" s="3"/>
      <c r="I25" s="3"/>
      <c r="J25" s="3"/>
    </row>
    <row r="26" s="1" customFormat="1" ht="15.6" spans="2:10">
      <c r="B26" s="4" t="s">
        <v>1</v>
      </c>
      <c r="C26" s="5" t="s">
        <v>2</v>
      </c>
      <c r="D26" s="6" t="s">
        <v>3</v>
      </c>
      <c r="E26" s="7" t="s">
        <v>4</v>
      </c>
      <c r="F26" s="8" t="s">
        <v>5</v>
      </c>
      <c r="G26" s="9" t="s">
        <v>6</v>
      </c>
      <c r="H26" s="10" t="s">
        <v>7</v>
      </c>
      <c r="I26" s="11" t="s">
        <v>8</v>
      </c>
      <c r="J26" s="12" t="s">
        <v>9</v>
      </c>
    </row>
    <row r="27" s="1" customFormat="1" ht="15.6" spans="2:10">
      <c r="B27" s="34" t="s">
        <v>24</v>
      </c>
      <c r="C27" s="15" t="s">
        <v>11</v>
      </c>
      <c r="D27" s="16"/>
      <c r="E27" s="16"/>
      <c r="F27" s="16"/>
      <c r="G27" s="16"/>
      <c r="H27" s="16"/>
      <c r="I27" s="17">
        <f>SUM(D27:H27)</f>
        <v>0</v>
      </c>
      <c r="J27" s="18" t="e">
        <f>D27/(I27-F27)</f>
        <v>#DIV/0!</v>
      </c>
    </row>
    <row r="28" s="1" customFormat="1" ht="15.6" spans="2:10">
      <c r="B28" s="35"/>
      <c r="C28" s="15" t="s">
        <v>12</v>
      </c>
      <c r="D28" s="16"/>
      <c r="E28" s="16"/>
      <c r="F28" s="16"/>
      <c r="G28" s="16"/>
      <c r="H28" s="16"/>
      <c r="I28" s="17">
        <f>SUM(D28:H28)</f>
        <v>0</v>
      </c>
      <c r="J28" s="18" t="e">
        <f>D28/(I28-F28)</f>
        <v>#DIV/0!</v>
      </c>
    </row>
    <row r="29" s="1" customFormat="1" ht="15.6" spans="2:10">
      <c r="B29" s="35"/>
      <c r="C29" s="15" t="s">
        <v>13</v>
      </c>
      <c r="D29" s="16"/>
      <c r="E29" s="16"/>
      <c r="F29" s="16"/>
      <c r="G29" s="16"/>
      <c r="H29" s="16"/>
      <c r="I29" s="17">
        <f>SUM(D29:H29)</f>
        <v>0</v>
      </c>
      <c r="J29" s="18" t="e">
        <f>D29/(I29-F29)</f>
        <v>#DIV/0!</v>
      </c>
    </row>
    <row r="30" s="1" customFormat="1" ht="15.6" spans="2:10">
      <c r="B30" s="14" t="s">
        <v>14</v>
      </c>
      <c r="C30" s="15" t="s">
        <v>15</v>
      </c>
      <c r="D30" s="16"/>
      <c r="E30" s="16"/>
      <c r="F30" s="16"/>
      <c r="G30" s="16"/>
      <c r="H30" s="16"/>
      <c r="I30" s="17"/>
      <c r="J30" s="18"/>
    </row>
    <row r="31" s="1" customFormat="1" ht="15.6" spans="2:10">
      <c r="B31" s="21" t="s">
        <v>24</v>
      </c>
      <c r="C31" s="15" t="s">
        <v>16</v>
      </c>
      <c r="D31" s="16"/>
      <c r="E31" s="16"/>
      <c r="F31" s="16"/>
      <c r="G31" s="16"/>
      <c r="H31" s="16"/>
      <c r="I31" s="17">
        <f>SUM(D31:H31)</f>
        <v>0</v>
      </c>
      <c r="J31" s="18" t="e">
        <f>D31/(I31-F31)</f>
        <v>#DIV/0!</v>
      </c>
    </row>
    <row r="32" s="1" customFormat="1" ht="15.6" spans="2:10">
      <c r="B32" s="36"/>
      <c r="C32" s="14" t="s">
        <v>8</v>
      </c>
      <c r="D32" s="23">
        <f>SUM(D27:D31)</f>
        <v>0</v>
      </c>
      <c r="E32" s="24">
        <f>SUM(E27:E31)</f>
        <v>0</v>
      </c>
      <c r="F32" s="25">
        <f>SUM(F27:F31)</f>
        <v>0</v>
      </c>
      <c r="G32" s="26">
        <f>SUM(G27:G31)</f>
        <v>0</v>
      </c>
      <c r="H32" s="27">
        <f>SUM(H27:H31)</f>
        <v>0</v>
      </c>
      <c r="I32" s="28">
        <f>SUM(I27:I29)</f>
        <v>0</v>
      </c>
      <c r="J32" s="29" t="e">
        <f>D32/(I32-F32)</f>
        <v>#DIV/0!</v>
      </c>
    </row>
    <row r="33" s="1" customFormat="1" ht="15.6" spans="1:9">
      <c r="D33" s="30" t="s">
        <v>17</v>
      </c>
      <c r="E33" s="30"/>
      <c r="F33" s="30"/>
      <c r="G33" s="31" t="e">
        <f>(D32+E32)/(I32-F32)</f>
        <v>#DIV/0!</v>
      </c>
      <c r="H33" s="31"/>
      <c r="I33" s="31"/>
    </row>
    <row r="34" s="1" customFormat="1" ht="15.6" spans="1:9">
      <c r="D34" s="32" t="s">
        <v>18</v>
      </c>
      <c r="E34" s="32"/>
      <c r="F34" s="32"/>
      <c r="G34" s="29" t="e">
        <f>D32/(I32-F32)</f>
        <v>#DIV/0!</v>
      </c>
      <c r="H34" s="29"/>
      <c r="I34" s="29"/>
    </row>
    <row r="35" s="1" customFormat="1" ht="15.6" spans="1:9">
      <c r="D35" s="37"/>
      <c r="E35" s="37"/>
      <c r="F35" s="37"/>
      <c r="G35" s="38"/>
      <c r="H35" s="38"/>
      <c r="I35" s="39"/>
    </row>
    <row r="36" s="1" customFormat="1" ht="15.6" spans="1:9">
      <c r="A36" s="1">
        <v>164</v>
      </c>
      <c r="B36" s="40"/>
      <c r="C36" s="41" t="s">
        <v>25</v>
      </c>
      <c r="D36" s="41"/>
      <c r="E36" s="41"/>
      <c r="F36" s="41"/>
      <c r="G36" s="41"/>
      <c r="H36" s="41"/>
    </row>
    <row r="37" s="1" customFormat="1" ht="15.6" spans="1:9">
      <c r="C37" s="42" t="s">
        <v>26</v>
      </c>
      <c r="D37" s="32" t="s">
        <v>27</v>
      </c>
      <c r="E37" s="43" t="s">
        <v>28</v>
      </c>
      <c r="F37" s="44" t="s">
        <v>29</v>
      </c>
      <c r="G37" s="45" t="s">
        <v>30</v>
      </c>
      <c r="H37" s="46" t="s">
        <v>8</v>
      </c>
    </row>
    <row r="38" s="1" customFormat="1" ht="15.6" spans="1:9">
      <c r="C38" s="15" t="s">
        <v>11</v>
      </c>
      <c r="D38" s="47"/>
      <c r="E38" s="47"/>
      <c r="F38" s="48"/>
      <c r="G38" s="48"/>
      <c r="H38" s="49">
        <f>SUM(D38:G38)</f>
        <v>0</v>
      </c>
      <c r="I38" s="50"/>
    </row>
    <row r="39" s="1" customFormat="1" ht="15.6" spans="1:9">
      <c r="C39" s="42" t="s">
        <v>8</v>
      </c>
      <c r="D39" s="51">
        <f t="shared" ref="D39:G39" si="4">SUM(D38:D38)</f>
        <v>0</v>
      </c>
      <c r="E39" s="51">
        <f t="shared" si="4"/>
        <v>0</v>
      </c>
      <c r="F39" s="52">
        <f t="shared" si="4"/>
        <v>0</v>
      </c>
      <c r="G39" s="52">
        <f t="shared" si="4"/>
        <v>0</v>
      </c>
      <c r="H39" s="53">
        <f>SUM(D39:G39)</f>
        <v>0</v>
      </c>
      <c r="I39" s="50"/>
    </row>
    <row r="40" s="1" customFormat="1" ht="15.6" spans="1:9">
      <c r="C40" s="54"/>
      <c r="D40" s="55" t="s">
        <v>31</v>
      </c>
      <c r="E40" s="55"/>
      <c r="F40" s="56">
        <v>0</v>
      </c>
      <c r="G40" s="56"/>
      <c r="H40" s="57"/>
      <c r="I40" s="50"/>
    </row>
    <row r="41" s="1" customFormat="1" ht="15.6" spans="1:9">
      <c r="B41" s="58"/>
      <c r="C41" s="59"/>
      <c r="D41" s="60" t="s">
        <v>32</v>
      </c>
      <c r="E41" s="61"/>
      <c r="F41" s="56">
        <v>0</v>
      </c>
      <c r="G41" s="56"/>
      <c r="H41" s="50"/>
      <c r="I41" s="50"/>
    </row>
    <row r="42" s="1" customFormat="1" ht="15.6" spans="1:9">
      <c r="B42" s="58"/>
      <c r="C42" s="58"/>
      <c r="D42" s="62"/>
      <c r="E42" s="62"/>
      <c r="F42" s="63"/>
      <c r="G42" s="64"/>
      <c r="I42" s="50"/>
    </row>
    <row r="43" s="1" customFormat="1" ht="15.6" spans="1:9">
      <c r="B43" s="40"/>
      <c r="C43" s="41" t="s">
        <v>33</v>
      </c>
      <c r="D43" s="41"/>
      <c r="E43" s="41"/>
      <c r="F43" s="41"/>
      <c r="G43" s="41"/>
      <c r="H43" s="41"/>
      <c r="I43" s="50"/>
    </row>
    <row r="44" s="1" customFormat="1" ht="15.6" spans="1:9">
      <c r="B44" s="37"/>
      <c r="C44" s="42" t="s">
        <v>26</v>
      </c>
      <c r="D44" s="32" t="s">
        <v>27</v>
      </c>
      <c r="E44" s="43" t="s">
        <v>28</v>
      </c>
      <c r="F44" s="44" t="s">
        <v>29</v>
      </c>
      <c r="G44" s="45" t="s">
        <v>30</v>
      </c>
      <c r="H44" s="46" t="s">
        <v>8</v>
      </c>
      <c r="I44" s="50"/>
    </row>
    <row r="45" s="1" customFormat="1" ht="15.6" spans="1:9">
      <c r="B45" s="37"/>
      <c r="C45" s="15" t="s">
        <v>11</v>
      </c>
      <c r="D45" s="65"/>
      <c r="E45" s="65"/>
      <c r="F45" s="66"/>
      <c r="G45" s="66"/>
      <c r="H45" s="67">
        <f>SUM(D45:G45)</f>
        <v>0</v>
      </c>
      <c r="I45" s="50"/>
    </row>
    <row r="46" s="1" customFormat="1" ht="15.6" spans="1:9">
      <c r="B46" s="37"/>
      <c r="C46" s="42" t="s">
        <v>8</v>
      </c>
      <c r="D46" s="68">
        <f>SUM(D45:D45)</f>
        <v>0</v>
      </c>
      <c r="E46" s="68">
        <f>SUM(E45:E45)</f>
        <v>0</v>
      </c>
      <c r="F46" s="69">
        <f>SUM(F45:F45)</f>
        <v>0</v>
      </c>
      <c r="G46" s="70">
        <f>SUM(G45:G45)</f>
        <v>0</v>
      </c>
      <c r="H46" s="71">
        <f>SUM(D46:G46)</f>
        <v>0</v>
      </c>
    </row>
    <row r="47" s="1" customFormat="1" ht="15.6" spans="1:9">
      <c r="B47" s="72"/>
      <c r="C47" s="58"/>
      <c r="D47" s="55" t="s">
        <v>31</v>
      </c>
      <c r="E47" s="55"/>
      <c r="F47" s="56">
        <v>0</v>
      </c>
      <c r="G47" s="56"/>
      <c r="H47" s="73"/>
    </row>
    <row r="48" s="1" customFormat="1" ht="15.6" spans="1:9">
      <c r="B48" s="72"/>
      <c r="C48" s="58"/>
      <c r="D48" s="60" t="s">
        <v>32</v>
      </c>
      <c r="E48" s="61"/>
      <c r="F48" s="74">
        <v>0</v>
      </c>
      <c r="G48" s="75"/>
      <c r="H48" s="73"/>
    </row>
    <row r="50" s="1" customFormat="1" ht="15.6" spans="3:8">
      <c r="C50" s="41" t="s">
        <v>34</v>
      </c>
      <c r="D50" s="41"/>
      <c r="E50" s="41"/>
      <c r="F50" s="41"/>
      <c r="G50" s="41"/>
      <c r="H50" s="41"/>
    </row>
    <row r="51" s="1" customFormat="1" ht="15.6" spans="3:8">
      <c r="C51" s="42" t="s">
        <v>26</v>
      </c>
      <c r="D51" s="32" t="s">
        <v>27</v>
      </c>
      <c r="E51" s="43" t="s">
        <v>28</v>
      </c>
      <c r="F51" s="44" t="s">
        <v>29</v>
      </c>
      <c r="G51" s="45" t="s">
        <v>30</v>
      </c>
      <c r="H51" s="46" t="s">
        <v>8</v>
      </c>
    </row>
    <row r="52" s="1" customFormat="1" ht="15.6" spans="3:8">
      <c r="C52" s="15" t="s">
        <v>11</v>
      </c>
      <c r="D52" s="47"/>
      <c r="E52" s="47"/>
      <c r="F52" s="48"/>
      <c r="G52" s="48"/>
      <c r="H52" s="49">
        <f>SUM(D52:G52)</f>
        <v>0</v>
      </c>
    </row>
    <row r="53" s="1" customFormat="1" ht="15.6" spans="3:8">
      <c r="C53" s="15" t="s">
        <v>13</v>
      </c>
      <c r="D53" s="47"/>
      <c r="E53" s="47"/>
      <c r="F53" s="48"/>
      <c r="G53" s="48"/>
      <c r="H53" s="49">
        <f>SUM(D53:G53)</f>
        <v>0</v>
      </c>
    </row>
    <row r="54" s="1" customFormat="1" ht="15.6" spans="3:8">
      <c r="C54" s="15" t="s">
        <v>12</v>
      </c>
      <c r="D54" s="47"/>
      <c r="E54" s="47"/>
      <c r="F54" s="48"/>
      <c r="G54" s="48"/>
      <c r="H54" s="49">
        <f>SUM(D54:G54)</f>
        <v>0</v>
      </c>
    </row>
    <row r="55" s="1" customFormat="1" ht="15.6" spans="3:8">
      <c r="C55" s="42" t="s">
        <v>8</v>
      </c>
      <c r="D55" s="51">
        <f>SUM(D52:D54)</f>
        <v>0</v>
      </c>
      <c r="E55" s="51">
        <f>SUM(E52:E54)</f>
        <v>0</v>
      </c>
      <c r="F55" s="52">
        <f>SUM(F52:F54)</f>
        <v>0</v>
      </c>
      <c r="G55" s="52">
        <f>SUM(G52:G54)</f>
        <v>0</v>
      </c>
      <c r="H55" s="53">
        <f>SUM(H52:H54)</f>
        <v>0</v>
      </c>
    </row>
    <row r="56" s="1" customFormat="1" ht="16" customHeight="1" spans="3:8">
      <c r="C56" s="54"/>
      <c r="D56" s="55" t="s">
        <v>31</v>
      </c>
      <c r="E56" s="55"/>
      <c r="F56" s="56">
        <v>0</v>
      </c>
      <c r="G56" s="56"/>
      <c r="H56" s="57"/>
    </row>
    <row r="57" s="1" customFormat="1" ht="15.6" spans="3:8">
      <c r="C57" s="59"/>
      <c r="D57" s="60" t="s">
        <v>32</v>
      </c>
      <c r="E57" s="61"/>
      <c r="F57" s="56">
        <v>0</v>
      </c>
      <c r="G57" s="56"/>
      <c r="H57" s="50"/>
    </row>
  </sheetData>
  <mergeCells count="33">
    <mergeCell ref="B2:J2"/>
    <mergeCell ref="D10:F10"/>
    <mergeCell ref="G10:I10"/>
    <mergeCell ref="D11:F11"/>
    <mergeCell ref="G11:I11"/>
    <mergeCell ref="B14:J14"/>
    <mergeCell ref="D22:F22"/>
    <mergeCell ref="G22:I22"/>
    <mergeCell ref="D23:F23"/>
    <mergeCell ref="G23:I23"/>
    <mergeCell ref="B25:J25"/>
    <mergeCell ref="D33:F33"/>
    <mergeCell ref="G33:I33"/>
    <mergeCell ref="D34:F34"/>
    <mergeCell ref="G34:I34"/>
    <mergeCell ref="C36:H36"/>
    <mergeCell ref="D40:E40"/>
    <mergeCell ref="F40:G40"/>
    <mergeCell ref="D41:E41"/>
    <mergeCell ref="F41:G41"/>
    <mergeCell ref="C43:H43"/>
    <mergeCell ref="D47:E47"/>
    <mergeCell ref="F47:G47"/>
    <mergeCell ref="D48:E48"/>
    <mergeCell ref="F48:G48"/>
    <mergeCell ref="C50:H50"/>
    <mergeCell ref="D56:E56"/>
    <mergeCell ref="F56:G56"/>
    <mergeCell ref="D57:E57"/>
    <mergeCell ref="F57:G57"/>
    <mergeCell ref="B4:B6"/>
    <mergeCell ref="B18:B20"/>
    <mergeCell ref="B27:B29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Sheet2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sanjay.k</dc:creator>
  <cp:lastModifiedBy>WPS_1774380132</cp:lastModifiedBy>
  <dcterms:created xsi:type="dcterms:W3CDTF">2026-09-15T11:37:00Z</dcterms:created>
  <dcterms:modified xsi:type="dcterms:W3CDTF">2026-09-17T08:42:35Z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32FA93618B004921AC1D400CF0007E42_11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1</vt:i4>
  </property>
</Properties>
</file>