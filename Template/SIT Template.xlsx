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188" windowHeight="9000"/>
  </bookViews>
  <sheets>
    <sheet name="Sheet2 (2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<sst xmlns="http://schemas.openxmlformats.org/spreadsheetml/2006/main" count="92" uniqueCount="33">
  <si>
    <t xml:space="preserve">General Uganda | SIT (QA) </t>
  </si>
  <si>
    <t>Lead Champion</t>
  </si>
  <si>
    <t>MODULE</t>
  </si>
  <si>
    <t xml:space="preserve">Passed </t>
  </si>
  <si>
    <t xml:space="preserve">Failed </t>
  </si>
  <si>
    <t>Blocked</t>
  </si>
  <si>
    <t>In Progress</t>
  </si>
  <si>
    <t>Not Executed</t>
  </si>
  <si>
    <t>Total</t>
  </si>
  <si>
    <t>Pass Rate</t>
  </si>
  <si>
    <t>Margaret Kabuthi</t>
  </si>
  <si>
    <t>Fixed Assets Management</t>
  </si>
  <si>
    <t>Procurement</t>
  </si>
  <si>
    <t>Cash and Bank Management</t>
  </si>
  <si>
    <t>General Ledger</t>
  </si>
  <si>
    <t xml:space="preserve">Execution Rate </t>
  </si>
  <si>
    <t>Overall Pass Rate</t>
  </si>
  <si>
    <t>Life Uganda | SIT (QA)</t>
  </si>
  <si>
    <t>Bernard Towett</t>
  </si>
  <si>
    <t>Robert Mkirema</t>
  </si>
  <si>
    <t>Intergations (ILMS)</t>
  </si>
  <si>
    <t>General Tanzania  | SIT (QA)</t>
  </si>
  <si>
    <t>Dennis Thea</t>
  </si>
  <si>
    <t xml:space="preserve"> General Uganda Defect Summary</t>
  </si>
  <si>
    <t xml:space="preserve"> Module</t>
  </si>
  <si>
    <t xml:space="preserve">Closed </t>
  </si>
  <si>
    <t>Deferred</t>
  </si>
  <si>
    <t>Fixed</t>
  </si>
  <si>
    <t>Pending</t>
  </si>
  <si>
    <t>Closure Rate</t>
  </si>
  <si>
    <t>Resolution Rate</t>
  </si>
  <si>
    <t xml:space="preserve"> Life Uganda Defect Summary</t>
  </si>
  <si>
    <t xml:space="preserve"> General Tanzania Defect Summary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</si>
</sst>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5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rgb="FF000000"/>
      <name val="Calibri"/>
      <charset val="134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theme="1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1"/>
      <color rgb="FF000000"/>
      <name val="Aptos Narrow"/>
      <charset val="0"/>
    </font>
    <font>
      <b/>
      <sz val="11"/>
      <color rgb="FF000000"/>
      <name val="Calibri"/>
      <charset val="0"/>
    </font>
    <font>
      <b/>
      <sz val="12"/>
      <color rgb="FF000000"/>
      <name val="Calibri"/>
      <charset val="0"/>
    </font>
    <font>
      <b/>
      <sz val="12"/>
      <color rgb="FF000000"/>
      <name val="Aptos"/>
      <charset val="0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0"/>
      <scheme val="minor"/>
    </font>
    <font>
      <b/>
      <sz val="11"/>
      <color rgb="FF000000"/>
      <name val="Calibri"/>
      <charset val="0"/>
      <scheme val="minor"/>
    </font>
    <font>
      <b/>
      <sz val="12"/>
      <color rgb="FF00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9" borderId="10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0" borderId="13" applyNumberFormat="0" applyAlignment="0" applyProtection="0">
      <alignment vertical="center"/>
    </xf>
    <xf numFmtId="0" fontId="25" fillId="21" borderId="14" applyNumberFormat="0" applyAlignment="0" applyProtection="0">
      <alignment vertical="center"/>
    </xf>
    <xf numFmtId="0" fontId="26" fillId="21" borderId="13" applyNumberFormat="0" applyAlignment="0" applyProtection="0">
      <alignment vertical="center"/>
    </xf>
    <xf numFmtId="0" fontId="27" fillId="22" borderId="15" applyNumberFormat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3" fillId="46" borderId="0" applyNumberFormat="0" applyBorder="0" applyAlignment="0" applyProtection="0">
      <alignment vertical="center"/>
    </xf>
    <xf numFmtId="0" fontId="34" fillId="47" borderId="0" applyNumberFormat="0" applyBorder="0" applyAlignment="0" applyProtection="0">
      <alignment vertical="center"/>
    </xf>
    <xf numFmtId="0" fontId="34" fillId="48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 wrapText="1" readingOrder="1"/>
    </xf>
    <xf numFmtId="0" fontId="2" fillId="6" borderId="2" xfId="0" applyFont="1" applyFill="1" applyBorder="1" applyAlignment="1">
      <alignment horizontal="center" vertical="center" wrapText="1" readingOrder="1"/>
    </xf>
    <xf numFmtId="0" fontId="2" fillId="7" borderId="2" xfId="0" applyFont="1" applyFill="1" applyBorder="1" applyAlignment="1">
      <alignment horizontal="center" vertical="center" wrapText="1" readingOrder="1"/>
    </xf>
    <xf numFmtId="0" fontId="2" fillId="8" borderId="2" xfId="0" applyFont="1" applyFill="1" applyBorder="1" applyAlignment="1">
      <alignment horizontal="center" vertical="center" wrapText="1" readingOrder="1"/>
    </xf>
    <xf numFmtId="0" fontId="2" fillId="9" borderId="2" xfId="0" applyFont="1" applyFill="1" applyBorder="1" applyAlignment="1">
      <alignment horizontal="center" vertical="center" wrapText="1" readingOrder="1"/>
    </xf>
    <xf numFmtId="0" fontId="2" fillId="10" borderId="2" xfId="0" applyFont="1" applyFill="1" applyBorder="1" applyAlignment="1">
      <alignment horizontal="center" vertical="center" wrapText="1" readingOrder="1"/>
    </xf>
    <xf numFmtId="0" fontId="3" fillId="11" borderId="2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3" xfId="0" applyFont="1" applyFill="1" applyBorder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2" fillId="0" borderId="5" xfId="0" applyFont="1" applyFill="1" applyBorder="1" applyAlignment="1">
      <alignment horizontal="center" vertical="center"/>
    </xf>
    <xf numFmtId="9" fontId="3" fillId="13" borderId="4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vertical="center"/>
    </xf>
    <xf numFmtId="0" fontId="2" fillId="0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6" borderId="4" xfId="0" applyFont="1" applyFill="1" applyBorder="1" applyAlignment="1">
      <alignment horizontal="center" vertical="center" wrapText="1" readingOrder="1"/>
    </xf>
    <xf numFmtId="0" fontId="2" fillId="7" borderId="4" xfId="0" applyFont="1" applyFill="1" applyBorder="1" applyAlignment="1">
      <alignment horizontal="center" vertical="center" wrapText="1" readingOrder="1"/>
    </xf>
    <xf numFmtId="0" fontId="2" fillId="8" borderId="4" xfId="0" applyFont="1" applyFill="1" applyBorder="1" applyAlignment="1">
      <alignment horizontal="center" vertical="center" wrapText="1" readingOrder="1"/>
    </xf>
    <xf numFmtId="0" fontId="2" fillId="9" borderId="4" xfId="0" applyFont="1" applyFill="1" applyBorder="1" applyAlignment="1">
      <alignment horizontal="center" vertical="center" wrapText="1" readingOrder="1"/>
    </xf>
    <xf numFmtId="0" fontId="6" fillId="14" borderId="4" xfId="0" applyNumberFormat="1" applyFont="1" applyFill="1" applyBorder="1" applyAlignment="1">
      <alignment horizontal="center" vertical="center"/>
    </xf>
    <xf numFmtId="9" fontId="3" fillId="0" borderId="4" xfId="0" applyNumberFormat="1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9" fontId="3" fillId="0" borderId="4" xfId="3" applyNumberFormat="1" applyFont="1" applyBorder="1" applyAlignment="1">
      <alignment horizontal="center" vertical="center"/>
    </xf>
    <xf numFmtId="0" fontId="2" fillId="15" borderId="4" xfId="0" applyFont="1" applyFill="1" applyBorder="1" applyAlignment="1">
      <alignment horizontal="center" vertical="center"/>
    </xf>
    <xf numFmtId="9" fontId="3" fillId="0" borderId="4" xfId="0" applyNumberFormat="1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wrapText="1"/>
    </xf>
    <xf numFmtId="9" fontId="3" fillId="11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9" fontId="3" fillId="0" borderId="0" xfId="0" applyNumberFormat="1" applyFont="1" applyFill="1" applyBorder="1" applyAlignment="1">
      <alignment horizontal="center" vertical="center"/>
    </xf>
    <xf numFmtId="9" fontId="3" fillId="0" borderId="0" xfId="0" applyNumberFormat="1" applyFont="1" applyFill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2" fillId="16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6" fillId="17" borderId="4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9" fillId="0" borderId="4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10" fillId="0" borderId="4" xfId="0" applyFont="1" applyFill="1" applyBorder="1" applyAlignment="1">
      <alignment horizontal="center" vertical="center" readingOrder="1"/>
    </xf>
    <xf numFmtId="0" fontId="10" fillId="0" borderId="4" xfId="0" applyFont="1" applyFill="1" applyBorder="1" applyAlignment="1">
      <alignment horizontal="center" vertical="center"/>
    </xf>
    <xf numFmtId="0" fontId="5" fillId="0" borderId="4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vertical="center" readingOrder="1"/>
    </xf>
    <xf numFmtId="0" fontId="10" fillId="15" borderId="4" xfId="0" applyFont="1" applyFill="1" applyBorder="1" applyAlignment="1">
      <alignment horizontal="center" vertical="center" readingOrder="1"/>
    </xf>
    <xf numFmtId="9" fontId="10" fillId="0" borderId="4" xfId="0" applyNumberFormat="1" applyFont="1" applyFill="1" applyBorder="1" applyAlignment="1">
      <alignment horizontal="center" vertical="center"/>
    </xf>
    <xf numFmtId="10" fontId="5" fillId="0" borderId="0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9" fillId="18" borderId="4" xfId="0" applyFont="1" applyFill="1" applyBorder="1" applyAlignment="1">
      <alignment horizontal="center" vertical="center" readingOrder="1"/>
    </xf>
    <xf numFmtId="0" fontId="10" fillId="18" borderId="4" xfId="0" applyFont="1" applyFill="1" applyBorder="1" applyAlignment="1">
      <alignment horizontal="center" vertical="center" readingOrder="1"/>
    </xf>
    <xf numFmtId="0" fontId="11" fillId="0" borderId="0" xfId="0" applyFont="1" applyFill="1" applyAlignment="1">
      <alignment horizontal="center" vertical="center" readingOrder="1"/>
    </xf>
    <xf numFmtId="0" fontId="10" fillId="0" borderId="6" xfId="0" applyFont="1" applyFill="1" applyBorder="1" applyAlignment="1">
      <alignment horizontal="center" vertical="center"/>
    </xf>
    <xf numFmtId="0" fontId="10" fillId="0" borderId="7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0" fontId="15" fillId="0" borderId="4" xfId="0" applyFont="1" applyFill="1" applyBorder="1" applyAlignment="1">
      <alignment horizontal="center" vertical="center" readingOrder="1"/>
    </xf>
    <xf numFmtId="0" fontId="15" fillId="0" borderId="4" xfId="0" applyNumberFormat="1" applyFont="1" applyFill="1" applyBorder="1" applyAlignment="1">
      <alignment horizontal="center" vertical="center"/>
    </xf>
    <xf numFmtId="0" fontId="15" fillId="0" borderId="4" xfId="0" applyFont="1" applyFill="1" applyBorder="1" applyAlignment="1">
      <alignment horizontal="center" vertical="center"/>
    </xf>
    <xf numFmtId="0" fontId="1" fillId="0" borderId="4" xfId="0" applyNumberFormat="1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5" fillId="0" borderId="0" xfId="0" applyNumberFormat="1" applyFont="1" applyFill="1" applyAlignment="1">
      <alignment horizontal="center" vertical="center"/>
    </xf>
    <xf numFmtId="9" fontId="10" fillId="0" borderId="8" xfId="0" applyNumberFormat="1" applyFont="1" applyFill="1" applyBorder="1" applyAlignment="1">
      <alignment horizontal="center" vertical="center"/>
    </xf>
    <xf numFmtId="9" fontId="10" fillId="0" borderId="9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5"/>
  <sheetViews>
    <sheetView tabSelected="1" workbookViewId="0">
      <selection activeCell="M13" sqref="M13"/>
    </sheetView>
  </sheetViews>
  <sheetFormatPr defaultColWidth="8.88888888888889" defaultRowHeight="14.4"/>
  <cols>
    <col min="1" max="1" width="17.4444444444444" style="1" customWidth="1"/>
    <col min="2" max="2" width="19.1111111111111" style="1" customWidth="1"/>
    <col min="3" max="3" width="27.8888888888889" style="1" customWidth="1"/>
    <col min="4" max="4" width="8.44444444444444" style="1" customWidth="1"/>
    <col min="5" max="5" width="9.88888888888889" style="1" customWidth="1"/>
    <col min="6" max="6" width="8.11111111111111" style="1" customWidth="1"/>
    <col min="7" max="7" width="11" style="1" customWidth="1"/>
    <col min="8" max="8" width="13.2222222222222" style="1" customWidth="1"/>
    <col min="9" max="9" width="7.25" style="1" customWidth="1"/>
    <col min="10" max="10" width="8.88888888888889" style="1" customWidth="1"/>
    <col min="11" max="11" width="8.88888888888889" style="1"/>
    <col min="12" max="12" width="12.8888888888889" style="1"/>
    <col min="13" max="13" width="27.8888888888889" style="1" customWidth="1"/>
    <col min="14" max="16384" width="8.88888888888889" style="1"/>
  </cols>
  <sheetData>
    <row r="1" s="1" customFormat="1" customHeight="1"/>
    <row r="2" s="1" customFormat="1" ht="15.6" customHeight="1" spans="1:10">
      <c r="B2" s="2" t="s">
        <v>0</v>
      </c>
      <c r="C2" s="3"/>
      <c r="D2" s="3"/>
      <c r="E2" s="3"/>
      <c r="F2" s="3"/>
      <c r="G2" s="3"/>
      <c r="H2" s="3"/>
      <c r="I2" s="3"/>
      <c r="J2" s="3"/>
    </row>
    <row r="3" s="1" customFormat="1" ht="15.6" customHeight="1" spans="1:10">
      <c r="B3" s="4" t="s">
        <v>1</v>
      </c>
      <c r="C3" s="5" t="s">
        <v>2</v>
      </c>
      <c r="D3" s="6" t="s">
        <v>3</v>
      </c>
      <c r="E3" s="7" t="s">
        <v>4</v>
      </c>
      <c r="F3" s="8" t="s">
        <v>5</v>
      </c>
      <c r="G3" s="9" t="s">
        <v>6</v>
      </c>
      <c r="H3" s="10" t="s">
        <v>7</v>
      </c>
      <c r="I3" s="11" t="s">
        <v>8</v>
      </c>
      <c r="J3" s="12" t="s">
        <v>9</v>
      </c>
    </row>
    <row r="4" s="1" customFormat="1" ht="15.6" customHeight="1" spans="1:10">
      <c r="A4" s="13"/>
      <c r="B4" s="14" t="s">
        <v>10</v>
      </c>
      <c r="C4" s="15" t="s">
        <v>11</v>
      </c>
      <c r="D4" s="16"/>
      <c r="E4" s="16"/>
      <c r="F4" s="16"/>
      <c r="G4" s="16"/>
      <c r="H4" s="16"/>
      <c r="I4" s="17">
        <f t="shared" ref="I4:I7" si="0">SUM(D4:H4)</f>
        <v>0</v>
      </c>
      <c r="J4" s="18" t="e">
        <f t="shared" ref="J4:J8" si="1">D4/(I4-F4)</f>
        <v>#DIV/0!</v>
      </c>
    </row>
    <row r="5" s="1" customFormat="1" ht="15.6" customHeight="1" spans="1:10">
      <c r="A5" s="19"/>
      <c r="B5" s="20"/>
      <c r="C5" s="15" t="s">
        <v>12</v>
      </c>
      <c r="D5" s="16"/>
      <c r="E5" s="16"/>
      <c r="F5" s="16"/>
      <c r="G5" s="16"/>
      <c r="H5" s="16"/>
      <c r="I5" s="17">
        <f t="shared" si="0"/>
        <v>0</v>
      </c>
      <c r="J5" s="21" t="e">
        <f t="shared" si="1"/>
        <v>#DIV/0!</v>
      </c>
    </row>
    <row r="6" s="1" customFormat="1" ht="15.6" customHeight="1" spans="1:10">
      <c r="A6" s="19"/>
      <c r="B6" s="20"/>
      <c r="C6" s="15" t="s">
        <v>13</v>
      </c>
      <c r="D6" s="16"/>
      <c r="E6" s="16"/>
      <c r="F6" s="16"/>
      <c r="G6" s="16"/>
      <c r="H6" s="16"/>
      <c r="I6" s="17">
        <f t="shared" si="0"/>
        <v>0</v>
      </c>
      <c r="J6" s="21" t="e">
        <f t="shared" si="1"/>
        <v>#DIV/0!</v>
      </c>
    </row>
    <row r="7" s="1" customFormat="1" ht="15.6" customHeight="1" spans="1:10">
      <c r="A7" s="19"/>
      <c r="B7" s="22"/>
      <c r="C7" s="15" t="s">
        <v>14</v>
      </c>
      <c r="D7" s="16"/>
      <c r="E7" s="16"/>
      <c r="F7" s="16"/>
      <c r="G7" s="16"/>
      <c r="H7" s="16"/>
      <c r="I7" s="17">
        <f t="shared" si="0"/>
        <v>0</v>
      </c>
      <c r="J7" s="18" t="e">
        <f t="shared" si="1"/>
        <v>#DIV/0!</v>
      </c>
    </row>
    <row r="8" s="1" customFormat="1" ht="15.6" customHeight="1" spans="1:10">
      <c r="B8" s="23"/>
      <c r="C8" s="24" t="s">
        <v>8</v>
      </c>
      <c r="D8" s="25">
        <f t="shared" ref="D8:I8" si="2">SUM(D4:D7)</f>
        <v>0</v>
      </c>
      <c r="E8" s="26">
        <f t="shared" si="2"/>
        <v>0</v>
      </c>
      <c r="F8" s="27">
        <f t="shared" si="2"/>
        <v>0</v>
      </c>
      <c r="G8" s="28">
        <f t="shared" si="2"/>
        <v>0</v>
      </c>
      <c r="H8" s="29">
        <f t="shared" si="2"/>
        <v>0</v>
      </c>
      <c r="I8" s="30">
        <f t="shared" si="2"/>
        <v>0</v>
      </c>
      <c r="J8" s="31" t="e">
        <f t="shared" si="1"/>
        <v>#DIV/0!</v>
      </c>
    </row>
    <row r="9" s="1" customFormat="1" ht="15.6" spans="1:10">
      <c r="D9" s="32" t="s">
        <v>15</v>
      </c>
      <c r="E9" s="32"/>
      <c r="F9" s="32"/>
      <c r="G9" s="33" t="e">
        <f>(D8+E8)/(I8-F8)</f>
        <v>#DIV/0!</v>
      </c>
      <c r="H9" s="33"/>
      <c r="I9" s="33"/>
    </row>
    <row r="10" s="1" customFormat="1" ht="15.6" spans="1:10">
      <c r="D10" s="34" t="s">
        <v>16</v>
      </c>
      <c r="E10" s="34"/>
      <c r="F10" s="34"/>
      <c r="G10" s="35" t="e">
        <f>D8/(I8-F8)</f>
        <v>#DIV/0!</v>
      </c>
      <c r="H10" s="35"/>
      <c r="I10" s="35"/>
    </row>
    <row r="13" s="1" customFormat="1" ht="15.6" spans="1:10">
      <c r="B13" s="2" t="s">
        <v>17</v>
      </c>
      <c r="C13" s="3"/>
      <c r="D13" s="3"/>
      <c r="E13" s="3"/>
      <c r="F13" s="3"/>
      <c r="G13" s="3"/>
      <c r="H13" s="3"/>
      <c r="I13" s="3"/>
      <c r="J13" s="3"/>
    </row>
    <row r="14" s="1" customFormat="1" ht="18" customHeight="1" spans="1:10">
      <c r="B14" s="4" t="s">
        <v>1</v>
      </c>
      <c r="C14" s="5" t="s">
        <v>2</v>
      </c>
      <c r="D14" s="6" t="s">
        <v>3</v>
      </c>
      <c r="E14" s="7" t="s">
        <v>4</v>
      </c>
      <c r="F14" s="8" t="s">
        <v>5</v>
      </c>
      <c r="G14" s="9" t="s">
        <v>6</v>
      </c>
      <c r="H14" s="10" t="s">
        <v>7</v>
      </c>
      <c r="I14" s="11" t="s">
        <v>8</v>
      </c>
      <c r="J14" s="12" t="s">
        <v>9</v>
      </c>
    </row>
    <row r="15" s="1" customFormat="1" ht="15.6" spans="1:10">
      <c r="B15" s="24" t="s">
        <v>18</v>
      </c>
      <c r="C15" s="15" t="s">
        <v>11</v>
      </c>
      <c r="D15" s="16"/>
      <c r="E15" s="16"/>
      <c r="F15" s="16"/>
      <c r="G15" s="16"/>
      <c r="H15" s="16"/>
      <c r="I15" s="17">
        <f t="shared" ref="I15:I19" si="3">SUM(D15:H15)</f>
        <v>0</v>
      </c>
      <c r="J15" s="21" t="e">
        <f t="shared" ref="J15:J20" si="4">D15/(I15-F15)</f>
        <v>#DIV/0!</v>
      </c>
    </row>
    <row r="16" s="1" customFormat="1" ht="15.6" spans="1:10">
      <c r="B16" s="36" t="s">
        <v>19</v>
      </c>
      <c r="C16" s="15" t="s">
        <v>20</v>
      </c>
      <c r="D16" s="16"/>
      <c r="E16" s="16"/>
      <c r="F16" s="16"/>
      <c r="G16" s="16"/>
      <c r="H16" s="16"/>
      <c r="I16" s="17">
        <f t="shared" si="3"/>
        <v>0</v>
      </c>
      <c r="J16" s="37" t="e">
        <f t="shared" si="4"/>
        <v>#DIV/0!</v>
      </c>
    </row>
    <row r="17" s="1" customFormat="1" ht="15.6" spans="2:10">
      <c r="B17" s="14" t="s">
        <v>18</v>
      </c>
      <c r="C17" s="15" t="s">
        <v>12</v>
      </c>
      <c r="D17" s="16"/>
      <c r="E17" s="16"/>
      <c r="F17" s="16"/>
      <c r="G17" s="16"/>
      <c r="H17" s="16"/>
      <c r="I17" s="17">
        <f t="shared" si="3"/>
        <v>0</v>
      </c>
      <c r="J17" s="18" t="e">
        <f t="shared" si="4"/>
        <v>#DIV/0!</v>
      </c>
    </row>
    <row r="18" s="1" customFormat="1" ht="15.6" spans="2:10">
      <c r="B18" s="20"/>
      <c r="C18" s="15" t="s">
        <v>13</v>
      </c>
      <c r="D18" s="16"/>
      <c r="E18" s="16"/>
      <c r="F18" s="16"/>
      <c r="G18" s="16"/>
      <c r="H18" s="16"/>
      <c r="I18" s="17">
        <f t="shared" si="3"/>
        <v>0</v>
      </c>
      <c r="J18" s="21" t="e">
        <f t="shared" si="4"/>
        <v>#DIV/0!</v>
      </c>
    </row>
    <row r="19" s="1" customFormat="1" ht="15.6" spans="2:10">
      <c r="B19" s="22"/>
      <c r="C19" s="15" t="s">
        <v>14</v>
      </c>
      <c r="D19" s="16"/>
      <c r="E19" s="16"/>
      <c r="F19" s="16"/>
      <c r="G19" s="16"/>
      <c r="H19" s="16"/>
      <c r="I19" s="17">
        <f t="shared" si="3"/>
        <v>0</v>
      </c>
      <c r="J19" s="18" t="e">
        <f t="shared" si="4"/>
        <v>#DIV/0!</v>
      </c>
    </row>
    <row r="20" s="1" customFormat="1" ht="15.6" spans="2:10">
      <c r="B20" s="38"/>
      <c r="C20" s="24" t="s">
        <v>8</v>
      </c>
      <c r="D20" s="25">
        <f t="shared" ref="D20:I20" si="5">SUM(D15:D19)</f>
        <v>0</v>
      </c>
      <c r="E20" s="26">
        <f t="shared" si="5"/>
        <v>0</v>
      </c>
      <c r="F20" s="27">
        <f t="shared" si="5"/>
        <v>0</v>
      </c>
      <c r="G20" s="28">
        <f t="shared" si="5"/>
        <v>0</v>
      </c>
      <c r="H20" s="29">
        <f t="shared" si="5"/>
        <v>0</v>
      </c>
      <c r="I20" s="30">
        <f t="shared" si="5"/>
        <v>0</v>
      </c>
      <c r="J20" s="31" t="e">
        <f t="shared" si="4"/>
        <v>#DIV/0!</v>
      </c>
    </row>
    <row r="21" s="1" customFormat="1" ht="15.6" spans="2:10">
      <c r="D21" s="32" t="s">
        <v>15</v>
      </c>
      <c r="E21" s="32"/>
      <c r="F21" s="32"/>
      <c r="G21" s="33" t="e">
        <f>(D20+E20)/(I20-F20)</f>
        <v>#DIV/0!</v>
      </c>
      <c r="H21" s="33"/>
      <c r="I21" s="33"/>
    </row>
    <row r="22" s="1" customFormat="1" ht="15.6" spans="2:10">
      <c r="D22" s="34" t="s">
        <v>16</v>
      </c>
      <c r="E22" s="34"/>
      <c r="F22" s="34"/>
      <c r="G22" s="35" t="e">
        <f>D20/(I20-F20)</f>
        <v>#DIV/0!</v>
      </c>
      <c r="H22" s="35"/>
      <c r="I22" s="35"/>
    </row>
    <row r="24" s="1" customFormat="1" ht="15.6" spans="2:10">
      <c r="B24" s="2" t="s">
        <v>21</v>
      </c>
      <c r="C24" s="3"/>
      <c r="D24" s="3"/>
      <c r="E24" s="3"/>
      <c r="F24" s="3"/>
      <c r="G24" s="3"/>
      <c r="H24" s="3"/>
      <c r="I24" s="3"/>
      <c r="J24" s="3"/>
    </row>
    <row r="25" s="1" customFormat="1" ht="15.6" spans="2:10">
      <c r="B25" s="4" t="s">
        <v>1</v>
      </c>
      <c r="C25" s="5" t="s">
        <v>2</v>
      </c>
      <c r="D25" s="6" t="s">
        <v>3</v>
      </c>
      <c r="E25" s="7" t="s">
        <v>4</v>
      </c>
      <c r="F25" s="8" t="s">
        <v>5</v>
      </c>
      <c r="G25" s="9" t="s">
        <v>6</v>
      </c>
      <c r="H25" s="10" t="s">
        <v>7</v>
      </c>
      <c r="I25" s="11" t="s">
        <v>8</v>
      </c>
      <c r="J25" s="12" t="s">
        <v>9</v>
      </c>
    </row>
    <row r="26" s="1" customFormat="1" ht="15.6" spans="2:10">
      <c r="B26" s="14" t="s">
        <v>22</v>
      </c>
      <c r="C26" s="15" t="s">
        <v>11</v>
      </c>
      <c r="D26" s="16"/>
      <c r="E26" s="16"/>
      <c r="F26" s="16"/>
      <c r="G26" s="16"/>
      <c r="H26" s="16"/>
      <c r="I26" s="17">
        <f t="shared" ref="I26:I29" si="6">SUM(D26:H26)</f>
        <v>0</v>
      </c>
      <c r="J26" s="18" t="e">
        <f t="shared" ref="J26:J30" si="7">D26/(I26-F26)</f>
        <v>#DIV/0!</v>
      </c>
    </row>
    <row r="27" s="1" customFormat="1" ht="15.6" spans="2:10">
      <c r="B27" s="20"/>
      <c r="C27" s="15" t="s">
        <v>12</v>
      </c>
      <c r="D27" s="16"/>
      <c r="E27" s="16"/>
      <c r="F27" s="16"/>
      <c r="G27" s="16"/>
      <c r="H27" s="16"/>
      <c r="I27" s="17">
        <f t="shared" si="6"/>
        <v>0</v>
      </c>
      <c r="J27" s="18" t="e">
        <f t="shared" si="7"/>
        <v>#DIV/0!</v>
      </c>
    </row>
    <row r="28" s="1" customFormat="1" ht="15.6" spans="2:10">
      <c r="B28" s="20"/>
      <c r="C28" s="15" t="s">
        <v>13</v>
      </c>
      <c r="D28" s="16"/>
      <c r="E28" s="16"/>
      <c r="F28" s="16"/>
      <c r="G28" s="16"/>
      <c r="H28" s="16"/>
      <c r="I28" s="17">
        <f t="shared" si="6"/>
        <v>0</v>
      </c>
      <c r="J28" s="18" t="e">
        <f t="shared" si="7"/>
        <v>#DIV/0!</v>
      </c>
    </row>
    <row r="29" s="1" customFormat="1" ht="15.6" spans="2:10">
      <c r="B29" s="22"/>
      <c r="C29" s="15" t="s">
        <v>14</v>
      </c>
      <c r="D29" s="16"/>
      <c r="E29" s="16"/>
      <c r="F29" s="16"/>
      <c r="G29" s="16"/>
      <c r="H29" s="16"/>
      <c r="I29" s="17">
        <f t="shared" si="6"/>
        <v>0</v>
      </c>
      <c r="J29" s="18" t="e">
        <f t="shared" si="7"/>
        <v>#DIV/0!</v>
      </c>
    </row>
    <row r="30" s="1" customFormat="1" ht="15.6" spans="2:10">
      <c r="B30" s="38"/>
      <c r="C30" s="24" t="s">
        <v>8</v>
      </c>
      <c r="D30" s="25">
        <f t="shared" ref="D30:H30" si="8">SUM(D26:D29)</f>
        <v>0</v>
      </c>
      <c r="E30" s="26">
        <f t="shared" si="8"/>
        <v>0</v>
      </c>
      <c r="F30" s="27">
        <f t="shared" si="8"/>
        <v>0</v>
      </c>
      <c r="G30" s="28">
        <f t="shared" si="8"/>
        <v>0</v>
      </c>
      <c r="H30" s="29">
        <f t="shared" si="8"/>
        <v>0</v>
      </c>
      <c r="I30" s="30">
        <f>SUM(I26:I28)</f>
        <v>0</v>
      </c>
      <c r="J30" s="31" t="e">
        <f t="shared" si="7"/>
        <v>#DIV/0!</v>
      </c>
    </row>
    <row r="31" s="1" customFormat="1" ht="15.6" spans="2:10">
      <c r="D31" s="32" t="s">
        <v>15</v>
      </c>
      <c r="E31" s="32"/>
      <c r="F31" s="32"/>
      <c r="G31" s="33" t="e">
        <f>(D30+E30)/(I30-F30)</f>
        <v>#DIV/0!</v>
      </c>
      <c r="H31" s="33"/>
      <c r="I31" s="33"/>
    </row>
    <row r="32" s="1" customFormat="1" ht="15.6" spans="2:10">
      <c r="D32" s="34" t="s">
        <v>16</v>
      </c>
      <c r="E32" s="34"/>
      <c r="F32" s="34"/>
      <c r="G32" s="35" t="e">
        <f>D30/(I30-F30)</f>
        <v>#DIV/0!</v>
      </c>
      <c r="H32" s="35"/>
      <c r="I32" s="35"/>
    </row>
    <row r="33" s="1" customFormat="1" ht="15.6" spans="1:9">
      <c r="D33" s="39"/>
      <c r="E33" s="39"/>
      <c r="F33" s="39"/>
      <c r="G33" s="40"/>
      <c r="H33" s="40"/>
      <c r="I33" s="41"/>
    </row>
    <row r="34" s="1" customFormat="1" ht="15.6" spans="1:9">
      <c r="A34" s="1">
        <v>164</v>
      </c>
      <c r="B34" s="42"/>
      <c r="C34" s="43" t="s">
        <v>23</v>
      </c>
      <c r="D34" s="43"/>
      <c r="E34" s="43"/>
      <c r="F34" s="43"/>
      <c r="G34" s="43"/>
      <c r="H34" s="43"/>
    </row>
    <row r="35" s="1" customFormat="1" ht="15.6" spans="1:9">
      <c r="C35" s="44" t="s">
        <v>24</v>
      </c>
      <c r="D35" s="34" t="s">
        <v>25</v>
      </c>
      <c r="E35" s="45" t="s">
        <v>26</v>
      </c>
      <c r="F35" s="46" t="s">
        <v>27</v>
      </c>
      <c r="G35" s="47" t="s">
        <v>28</v>
      </c>
      <c r="H35" s="48" t="s">
        <v>8</v>
      </c>
    </row>
    <row r="36" s="1" customFormat="1" ht="15.6" spans="1:9">
      <c r="C36" s="15" t="s">
        <v>11</v>
      </c>
      <c r="D36" s="49"/>
      <c r="E36" s="49"/>
      <c r="F36" s="50"/>
      <c r="G36" s="50"/>
      <c r="H36" s="51">
        <f>SUM(D36:G36)</f>
        <v>0</v>
      </c>
      <c r="I36" s="52"/>
    </row>
    <row r="37" s="1" customFormat="1" ht="15.6" spans="1:9">
      <c r="C37" s="44" t="s">
        <v>8</v>
      </c>
      <c r="D37" s="53">
        <f t="shared" ref="D37:G37" si="9">SUM(D36:D36)</f>
        <v>0</v>
      </c>
      <c r="E37" s="53">
        <f t="shared" si="9"/>
        <v>0</v>
      </c>
      <c r="F37" s="54">
        <f t="shared" si="9"/>
        <v>0</v>
      </c>
      <c r="G37" s="54">
        <f t="shared" si="9"/>
        <v>0</v>
      </c>
      <c r="H37" s="55">
        <f>SUM(D37:G37)</f>
        <v>0</v>
      </c>
      <c r="I37" s="52"/>
    </row>
    <row r="38" s="1" customFormat="1" ht="15.6" spans="1:9">
      <c r="C38" s="56"/>
      <c r="D38" s="57" t="s">
        <v>29</v>
      </c>
      <c r="E38" s="57"/>
      <c r="F38" s="58">
        <v>0</v>
      </c>
      <c r="G38" s="58"/>
      <c r="H38" s="59"/>
      <c r="I38" s="52"/>
    </row>
    <row r="39" s="1" customFormat="1" ht="15.6" spans="1:9">
      <c r="B39" s="60"/>
      <c r="C39" s="61"/>
      <c r="D39" s="62" t="s">
        <v>30</v>
      </c>
      <c r="E39" s="63"/>
      <c r="F39" s="58">
        <v>0</v>
      </c>
      <c r="G39" s="58"/>
      <c r="H39" s="52"/>
      <c r="I39" s="52"/>
    </row>
    <row r="40" s="1" customFormat="1" ht="15.6" spans="1:9">
      <c r="B40" s="60"/>
      <c r="C40" s="60"/>
      <c r="D40" s="64"/>
      <c r="E40" s="64"/>
      <c r="F40" s="65"/>
      <c r="G40" s="66"/>
      <c r="I40" s="52"/>
    </row>
    <row r="41" s="1" customFormat="1" ht="15.6" spans="1:9">
      <c r="B41" s="42"/>
      <c r="C41" s="43" t="s">
        <v>31</v>
      </c>
      <c r="D41" s="43"/>
      <c r="E41" s="43"/>
      <c r="F41" s="43"/>
      <c r="G41" s="43"/>
      <c r="H41" s="43"/>
      <c r="I41" s="52"/>
    </row>
    <row r="42" s="1" customFormat="1" ht="15.6" spans="1:9">
      <c r="B42" s="39"/>
      <c r="C42" s="44" t="s">
        <v>24</v>
      </c>
      <c r="D42" s="34" t="s">
        <v>25</v>
      </c>
      <c r="E42" s="45" t="s">
        <v>26</v>
      </c>
      <c r="F42" s="46" t="s">
        <v>27</v>
      </c>
      <c r="G42" s="47" t="s">
        <v>28</v>
      </c>
      <c r="H42" s="48" t="s">
        <v>8</v>
      </c>
      <c r="I42" s="52"/>
    </row>
    <row r="43" s="1" customFormat="1" ht="15.6" spans="1:9">
      <c r="B43" s="39"/>
      <c r="C43" s="15" t="s">
        <v>11</v>
      </c>
      <c r="D43" s="67"/>
      <c r="E43" s="67"/>
      <c r="F43" s="68"/>
      <c r="G43" s="68"/>
      <c r="H43" s="69">
        <f>SUM(D43:G43)</f>
        <v>0</v>
      </c>
      <c r="I43" s="52"/>
    </row>
    <row r="44" s="1" customFormat="1" ht="15.6" spans="1:9">
      <c r="B44" s="39"/>
      <c r="C44" s="44" t="s">
        <v>8</v>
      </c>
      <c r="D44" s="70">
        <f>SUM(D43:D43)</f>
        <v>0</v>
      </c>
      <c r="E44" s="70">
        <f>SUM(E43:E43)</f>
        <v>0</v>
      </c>
      <c r="F44" s="71">
        <f>SUM(F43:F43)</f>
        <v>0</v>
      </c>
      <c r="G44" s="72">
        <f>SUM(G43:G43)</f>
        <v>0</v>
      </c>
      <c r="H44" s="73">
        <f>SUM(D44:G44)</f>
        <v>0</v>
      </c>
    </row>
    <row r="45" s="1" customFormat="1" ht="15.6" spans="1:9">
      <c r="B45" s="74"/>
      <c r="C45" s="60"/>
      <c r="D45" s="57" t="s">
        <v>29</v>
      </c>
      <c r="E45" s="57"/>
      <c r="F45" s="58">
        <v>0</v>
      </c>
      <c r="G45" s="58"/>
      <c r="H45" s="75"/>
    </row>
    <row r="46" s="1" customFormat="1" ht="15.6" spans="1:9">
      <c r="B46" s="74"/>
      <c r="C46" s="60"/>
      <c r="D46" s="62" t="s">
        <v>30</v>
      </c>
      <c r="E46" s="63"/>
      <c r="F46" s="76">
        <v>0</v>
      </c>
      <c r="G46" s="77"/>
      <c r="H46" s="75"/>
    </row>
    <row r="48" s="1" customFormat="1" ht="15.6" spans="1:9">
      <c r="C48" s="43" t="s">
        <v>32</v>
      </c>
      <c r="D48" s="43"/>
      <c r="E48" s="43"/>
      <c r="F48" s="43"/>
      <c r="G48" s="43"/>
      <c r="H48" s="43"/>
    </row>
    <row r="49" s="1" customFormat="1" ht="15.6" spans="3:8">
      <c r="C49" s="44" t="s">
        <v>24</v>
      </c>
      <c r="D49" s="34" t="s">
        <v>25</v>
      </c>
      <c r="E49" s="45" t="s">
        <v>26</v>
      </c>
      <c r="F49" s="46" t="s">
        <v>27</v>
      </c>
      <c r="G49" s="47" t="s">
        <v>28</v>
      </c>
      <c r="H49" s="48" t="s">
        <v>8</v>
      </c>
    </row>
    <row r="50" s="1" customFormat="1" ht="15.6" spans="3:8">
      <c r="C50" s="15" t="s">
        <v>11</v>
      </c>
      <c r="D50" s="49"/>
      <c r="E50" s="49"/>
      <c r="F50" s="50"/>
      <c r="G50" s="50"/>
      <c r="H50" s="51">
        <f>SUM(D50:G50)</f>
        <v>0</v>
      </c>
    </row>
    <row r="51" s="1" customFormat="1" ht="15.6" spans="3:8">
      <c r="C51" s="15" t="s">
        <v>13</v>
      </c>
      <c r="D51" s="49"/>
      <c r="E51" s="49"/>
      <c r="F51" s="50"/>
      <c r="G51" s="50"/>
      <c r="H51" s="51">
        <f>SUM(D51:G51)</f>
        <v>0</v>
      </c>
    </row>
    <row r="52" s="1" customFormat="1" ht="15.6" spans="3:8">
      <c r="C52" s="15" t="s">
        <v>12</v>
      </c>
      <c r="D52" s="49"/>
      <c r="E52" s="49"/>
      <c r="F52" s="50"/>
      <c r="G52" s="50"/>
      <c r="H52" s="51">
        <f>SUM(D52:G52)</f>
        <v>0</v>
      </c>
    </row>
    <row r="53" s="1" customFormat="1" ht="15.6" spans="3:8">
      <c r="C53" s="44" t="s">
        <v>8</v>
      </c>
      <c r="D53" s="53">
        <f>SUM(D50:D52)</f>
        <v>0</v>
      </c>
      <c r="E53" s="53">
        <f>SUM(E50:E52)</f>
        <v>0</v>
      </c>
      <c r="F53" s="54">
        <f>SUM(F50:F52)</f>
        <v>0</v>
      </c>
      <c r="G53" s="54">
        <f>SUM(G50:G52)</f>
        <v>0</v>
      </c>
      <c r="H53" s="55">
        <f>SUM(H50:H52)</f>
        <v>0</v>
      </c>
    </row>
    <row r="54" s="1" customFormat="1" ht="16" customHeight="1" spans="3:8">
      <c r="C54" s="56"/>
      <c r="D54" s="57" t="s">
        <v>29</v>
      </c>
      <c r="E54" s="57"/>
      <c r="F54" s="58">
        <v>0</v>
      </c>
      <c r="G54" s="58"/>
      <c r="H54" s="59"/>
    </row>
    <row r="55" s="1" customFormat="1" ht="15.6" spans="3:8">
      <c r="C55" s="61"/>
      <c r="D55" s="62" t="s">
        <v>30</v>
      </c>
      <c r="E55" s="63"/>
      <c r="F55" s="58">
        <v>0</v>
      </c>
      <c r="G55" s="58"/>
      <c r="H55" s="52"/>
    </row>
  </sheetData>
  <mergeCells count="33">
    <mergeCell ref="B2:J2"/>
    <mergeCell ref="D9:F9"/>
    <mergeCell ref="G9:I9"/>
    <mergeCell ref="D10:F10"/>
    <mergeCell ref="G10:I10"/>
    <mergeCell ref="B13:J13"/>
    <mergeCell ref="D21:F21"/>
    <mergeCell ref="G21:I21"/>
    <mergeCell ref="D22:F22"/>
    <mergeCell ref="G22:I22"/>
    <mergeCell ref="B24:J24"/>
    <mergeCell ref="D31:F31"/>
    <mergeCell ref="G31:I31"/>
    <mergeCell ref="D32:F32"/>
    <mergeCell ref="G32:I32"/>
    <mergeCell ref="C34:H34"/>
    <mergeCell ref="D38:E38"/>
    <mergeCell ref="F38:G38"/>
    <mergeCell ref="D39:E39"/>
    <mergeCell ref="F39:G39"/>
    <mergeCell ref="C41:H41"/>
    <mergeCell ref="D45:E45"/>
    <mergeCell ref="F45:G45"/>
    <mergeCell ref="D46:E46"/>
    <mergeCell ref="F46:G46"/>
    <mergeCell ref="C48:H48"/>
    <mergeCell ref="D54:E54"/>
    <mergeCell ref="F54:G54"/>
    <mergeCell ref="D55:E55"/>
    <mergeCell ref="F55:G55"/>
    <mergeCell ref="B4:B7"/>
    <mergeCell ref="B17:B19"/>
    <mergeCell ref="B26:B2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sanjay.k</dc:creator>
  <cp:lastModifiedBy>WPS_1774380132</cp:lastModifiedBy>
  <dcterms:created xsi:type="dcterms:W3CDTF">2026-09-15T11:37:27Z</dcterms:created>
  <dcterms:modified xsi:type="dcterms:W3CDTF">2026-09-15T11:40:27Z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32FA93618B004921AC1D400CF0007E42_11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