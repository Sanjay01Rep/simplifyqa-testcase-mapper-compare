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2188" windowHeight="9000"/>
  </bookViews>
  <sheets>
    <sheet name="08-09-26 (2)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<sst xmlns="http://schemas.openxmlformats.org/spreadsheetml/2006/main" count="80" uniqueCount="30">
  <si>
    <t>General Uganda | SIT -Module-wise Daily Status</t>
  </si>
  <si>
    <t>Lead Champion</t>
  </si>
  <si>
    <t>MODULE</t>
  </si>
  <si>
    <t xml:space="preserve">Passed </t>
  </si>
  <si>
    <t xml:space="preserve">Failed </t>
  </si>
  <si>
    <t>Blocked</t>
  </si>
  <si>
    <t>In Progress</t>
  </si>
  <si>
    <t>Not Executed</t>
  </si>
  <si>
    <t>Total</t>
  </si>
  <si>
    <t>Pass Rate</t>
  </si>
  <si>
    <t>Margaret Kabuthi</t>
  </si>
  <si>
    <t>Fixed Assets Management</t>
  </si>
  <si>
    <t xml:space="preserve">Execution Rate </t>
  </si>
  <si>
    <t>Overall Pass Rate</t>
  </si>
  <si>
    <t>Life Uganda | SIT -Module-wise Daily Status</t>
  </si>
  <si>
    <t>Bernard Towett</t>
  </si>
  <si>
    <t>Robert Mkirema</t>
  </si>
  <si>
    <t>Intergations (ILMS)</t>
  </si>
  <si>
    <t>General Tanzania  | SIT -Module-wise Daily Status</t>
  </si>
  <si>
    <t>Dennis Thea</t>
  </si>
  <si>
    <t xml:space="preserve"> General Uganda Defect Summary</t>
  </si>
  <si>
    <t xml:space="preserve"> Module</t>
  </si>
  <si>
    <t xml:space="preserve">Closed </t>
  </si>
  <si>
    <t>Deferred</t>
  </si>
  <si>
    <t>Fixed</t>
  </si>
  <si>
    <t>Pending</t>
  </si>
  <si>
    <t>Closure Rate</t>
  </si>
  <si>
    <t>Resolution Rate</t>
  </si>
  <si>
    <t xml:space="preserve"> Life Uganda Defect Summary</t>
  </si>
  <si>
    <t xml:space="preserve"> General Tanzania Defect Summary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</si>
</sst>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35">
    <font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2"/>
      <color rgb="FF000000"/>
      <name val="Calibri"/>
      <charset val="134"/>
    </font>
    <font>
      <b/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2"/>
      <color theme="1"/>
      <name val="Calibri"/>
      <charset val="134"/>
    </font>
    <font>
      <b/>
      <sz val="11"/>
      <color rgb="FF000000"/>
      <name val="Calibri"/>
      <charset val="134"/>
    </font>
    <font>
      <sz val="11"/>
      <color rgb="FF000000"/>
      <name val="Calibri"/>
      <charset val="134"/>
    </font>
    <font>
      <sz val="11"/>
      <color rgb="FF000000"/>
      <name val="Aptos Narrow"/>
      <charset val="0"/>
    </font>
    <font>
      <b/>
      <sz val="11"/>
      <color rgb="FF000000"/>
      <name val="Calibri"/>
      <charset val="0"/>
    </font>
    <font>
      <b/>
      <sz val="12"/>
      <color rgb="FF000000"/>
      <name val="Calibri"/>
      <charset val="0"/>
    </font>
    <font>
      <b/>
      <sz val="12"/>
      <color rgb="FF000000"/>
      <name val="Aptos"/>
      <charset val="0"/>
    </font>
    <font>
      <sz val="11"/>
      <color rgb="FF000000"/>
      <name val="Calibri"/>
      <charset val="134"/>
      <scheme val="minor"/>
    </font>
    <font>
      <sz val="11"/>
      <color rgb="FF000000"/>
      <name val="Calibri"/>
      <charset val="0"/>
      <scheme val="minor"/>
    </font>
    <font>
      <b/>
      <sz val="11"/>
      <color rgb="FF000000"/>
      <name val="Calibri"/>
      <charset val="0"/>
      <scheme val="minor"/>
    </font>
    <font>
      <b/>
      <sz val="12"/>
      <color rgb="FF0000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50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ADADAD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AEDFB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8CBAD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9" borderId="8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0" borderId="10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20" borderId="11" applyNumberFormat="0" applyAlignment="0" applyProtection="0">
      <alignment vertical="center"/>
    </xf>
    <xf numFmtId="0" fontId="25" fillId="21" borderId="12" applyNumberFormat="0" applyAlignment="0" applyProtection="0">
      <alignment vertical="center"/>
    </xf>
    <xf numFmtId="0" fontId="26" fillId="21" borderId="11" applyNumberFormat="0" applyAlignment="0" applyProtection="0">
      <alignment vertical="center"/>
    </xf>
    <xf numFmtId="0" fontId="27" fillId="22" borderId="13" applyNumberFormat="0" applyAlignment="0" applyProtection="0">
      <alignment vertical="center"/>
    </xf>
    <xf numFmtId="0" fontId="28" fillId="0" borderId="14" applyNumberFormat="0" applyFill="0" applyAlignment="0" applyProtection="0">
      <alignment vertical="center"/>
    </xf>
    <xf numFmtId="0" fontId="29" fillId="0" borderId="15" applyNumberFormat="0" applyFill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3" fillId="37" borderId="0" applyNumberFormat="0" applyBorder="0" applyAlignment="0" applyProtection="0">
      <alignment vertical="center"/>
    </xf>
    <xf numFmtId="0" fontId="33" fillId="38" borderId="0" applyNumberFormat="0" applyBorder="0" applyAlignment="0" applyProtection="0">
      <alignment vertical="center"/>
    </xf>
    <xf numFmtId="0" fontId="34" fillId="39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3" fillId="41" borderId="0" applyNumberFormat="0" applyBorder="0" applyAlignment="0" applyProtection="0">
      <alignment vertical="center"/>
    </xf>
    <xf numFmtId="0" fontId="33" fillId="42" borderId="0" applyNumberFormat="0" applyBorder="0" applyAlignment="0" applyProtection="0">
      <alignment vertical="center"/>
    </xf>
    <xf numFmtId="0" fontId="34" fillId="43" borderId="0" applyNumberFormat="0" applyBorder="0" applyAlignment="0" applyProtection="0">
      <alignment vertical="center"/>
    </xf>
    <xf numFmtId="0" fontId="34" fillId="44" borderId="0" applyNumberFormat="0" applyBorder="0" applyAlignment="0" applyProtection="0">
      <alignment vertical="center"/>
    </xf>
    <xf numFmtId="0" fontId="33" fillId="45" borderId="0" applyNumberFormat="0" applyBorder="0" applyAlignment="0" applyProtection="0">
      <alignment vertical="center"/>
    </xf>
    <xf numFmtId="0" fontId="33" fillId="46" borderId="0" applyNumberFormat="0" applyBorder="0" applyAlignment="0" applyProtection="0">
      <alignment vertical="center"/>
    </xf>
    <xf numFmtId="0" fontId="34" fillId="47" borderId="0" applyNumberFormat="0" applyBorder="0" applyAlignment="0" applyProtection="0">
      <alignment vertical="center"/>
    </xf>
    <xf numFmtId="0" fontId="34" fillId="48" borderId="0" applyNumberFormat="0" applyBorder="0" applyAlignment="0" applyProtection="0">
      <alignment vertical="center"/>
    </xf>
    <xf numFmtId="0" fontId="33" fillId="49" borderId="0" applyNumberFormat="0" applyBorder="0" applyAlignment="0" applyProtection="0">
      <alignment vertical="center"/>
    </xf>
  </cellStyleXfs>
  <cellXfs count="74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 wrapText="1" readingOrder="1"/>
    </xf>
    <xf numFmtId="0" fontId="2" fillId="6" borderId="2" xfId="0" applyFont="1" applyFill="1" applyBorder="1" applyAlignment="1">
      <alignment horizontal="center" vertical="center" wrapText="1" readingOrder="1"/>
    </xf>
    <xf numFmtId="0" fontId="2" fillId="7" borderId="2" xfId="0" applyFont="1" applyFill="1" applyBorder="1" applyAlignment="1">
      <alignment horizontal="center" vertical="center" wrapText="1" readingOrder="1"/>
    </xf>
    <xf numFmtId="0" fontId="2" fillId="8" borderId="2" xfId="0" applyFont="1" applyFill="1" applyBorder="1" applyAlignment="1">
      <alignment horizontal="center" vertical="center" wrapText="1" readingOrder="1"/>
    </xf>
    <xf numFmtId="0" fontId="2" fillId="9" borderId="2" xfId="0" applyFont="1" applyFill="1" applyBorder="1" applyAlignment="1">
      <alignment horizontal="center" vertical="center" wrapText="1" readingOrder="1"/>
    </xf>
    <xf numFmtId="0" fontId="2" fillId="10" borderId="2" xfId="0" applyFont="1" applyFill="1" applyBorder="1" applyAlignment="1">
      <alignment horizontal="center" vertical="center" wrapText="1" readingOrder="1"/>
    </xf>
    <xf numFmtId="0" fontId="3" fillId="11" borderId="2" xfId="0" applyFont="1" applyFill="1" applyBorder="1" applyAlignment="1">
      <alignment vertical="center"/>
    </xf>
    <xf numFmtId="0" fontId="4" fillId="0" borderId="0" xfId="0" applyFont="1" applyFill="1" applyBorder="1" applyAlignment="1">
      <alignment vertical="center"/>
    </xf>
    <xf numFmtId="0" fontId="2" fillId="0" borderId="3" xfId="0" applyFont="1" applyFill="1" applyBorder="1" applyAlignment="1">
      <alignment horizontal="center" vertical="center"/>
    </xf>
    <xf numFmtId="0" fontId="2" fillId="12" borderId="3" xfId="0" applyFont="1" applyFill="1" applyBorder="1" applyAlignment="1">
      <alignment horizontal="center" vertical="center"/>
    </xf>
    <xf numFmtId="0" fontId="0" fillId="0" borderId="3" xfId="0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vertical="center"/>
    </xf>
    <xf numFmtId="0" fontId="2" fillId="5" borderId="3" xfId="0" applyFont="1" applyFill="1" applyBorder="1" applyAlignment="1">
      <alignment horizontal="center" vertical="center" wrapText="1" readingOrder="1"/>
    </xf>
    <xf numFmtId="0" fontId="2" fillId="6" borderId="3" xfId="0" applyFont="1" applyFill="1" applyBorder="1" applyAlignment="1">
      <alignment horizontal="center" vertical="center" wrapText="1" readingOrder="1"/>
    </xf>
    <xf numFmtId="0" fontId="2" fillId="7" borderId="3" xfId="0" applyFont="1" applyFill="1" applyBorder="1" applyAlignment="1">
      <alignment horizontal="center" vertical="center" wrapText="1" readingOrder="1"/>
    </xf>
    <xf numFmtId="0" fontId="2" fillId="8" borderId="3" xfId="0" applyFont="1" applyFill="1" applyBorder="1" applyAlignment="1">
      <alignment horizontal="center" vertical="center" wrapText="1" readingOrder="1"/>
    </xf>
    <xf numFmtId="0" fontId="2" fillId="9" borderId="3" xfId="0" applyFont="1" applyFill="1" applyBorder="1" applyAlignment="1">
      <alignment horizontal="center" vertical="center" wrapText="1" readingOrder="1"/>
    </xf>
    <xf numFmtId="0" fontId="6" fillId="13" borderId="3" xfId="0" applyNumberFormat="1" applyFont="1" applyFill="1" applyBorder="1" applyAlignment="1">
      <alignment horizontal="center" vertical="center"/>
    </xf>
    <xf numFmtId="9" fontId="3" fillId="11" borderId="3" xfId="0" applyNumberFormat="1" applyFont="1" applyFill="1" applyBorder="1" applyAlignment="1">
      <alignment horizontal="center" vertical="center"/>
    </xf>
    <xf numFmtId="0" fontId="2" fillId="14" borderId="3" xfId="0" applyFont="1" applyFill="1" applyBorder="1" applyAlignment="1">
      <alignment horizontal="center" vertical="center"/>
    </xf>
    <xf numFmtId="9" fontId="3" fillId="0" borderId="3" xfId="3" applyNumberFormat="1" applyFont="1" applyBorder="1" applyAlignment="1">
      <alignment horizontal="center" vertical="center"/>
    </xf>
    <xf numFmtId="0" fontId="2" fillId="15" borderId="3" xfId="0" applyFont="1" applyFill="1" applyBorder="1" applyAlignment="1">
      <alignment horizontal="center" vertical="center"/>
    </xf>
    <xf numFmtId="9" fontId="3" fillId="0" borderId="3" xfId="0" applyNumberFormat="1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wrapText="1"/>
    </xf>
    <xf numFmtId="0" fontId="5" fillId="4" borderId="3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9" fontId="3" fillId="0" borderId="0" xfId="0" applyNumberFormat="1" applyFont="1" applyFill="1" applyBorder="1" applyAlignment="1">
      <alignment horizontal="center" vertical="center"/>
    </xf>
    <xf numFmtId="9" fontId="3" fillId="0" borderId="0" xfId="0" applyNumberFormat="1" applyFont="1" applyFill="1" applyAlignment="1">
      <alignment horizontal="center" vertical="center"/>
    </xf>
    <xf numFmtId="0" fontId="1" fillId="0" borderId="0" xfId="0" applyFont="1" applyFill="1" applyBorder="1" applyAlignment="1">
      <alignment vertical="center"/>
    </xf>
    <xf numFmtId="0" fontId="2" fillId="16" borderId="3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/>
    </xf>
    <xf numFmtId="0" fontId="6" fillId="17" borderId="3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10" borderId="3" xfId="0" applyFont="1" applyFill="1" applyBorder="1" applyAlignment="1">
      <alignment horizontal="center" vertical="center"/>
    </xf>
    <xf numFmtId="0" fontId="7" fillId="0" borderId="3" xfId="0" applyFont="1" applyFill="1" applyBorder="1" applyAlignment="1">
      <alignment horizontal="center" vertical="center"/>
    </xf>
    <xf numFmtId="0" fontId="8" fillId="0" borderId="3" xfId="0" applyFont="1" applyFill="1" applyBorder="1" applyAlignment="1">
      <alignment horizontal="center" vertical="center"/>
    </xf>
    <xf numFmtId="0" fontId="9" fillId="0" borderId="3" xfId="0" applyNumberFormat="1" applyFont="1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10" fillId="0" borderId="3" xfId="0" applyFont="1" applyFill="1" applyBorder="1" applyAlignment="1">
      <alignment horizontal="center" vertical="center" readingOrder="1"/>
    </xf>
    <xf numFmtId="0" fontId="10" fillId="0" borderId="3" xfId="0" applyFont="1" applyFill="1" applyBorder="1" applyAlignment="1">
      <alignment horizontal="center" vertical="center"/>
    </xf>
    <xf numFmtId="0" fontId="5" fillId="0" borderId="3" xfId="0" applyNumberFormat="1" applyFont="1" applyFill="1" applyBorder="1" applyAlignment="1">
      <alignment horizontal="center" vertical="center"/>
    </xf>
    <xf numFmtId="0" fontId="10" fillId="0" borderId="0" xfId="0" applyFont="1" applyFill="1" applyBorder="1" applyAlignment="1">
      <alignment vertical="center" readingOrder="1"/>
    </xf>
    <xf numFmtId="0" fontId="10" fillId="15" borderId="3" xfId="0" applyFont="1" applyFill="1" applyBorder="1" applyAlignment="1">
      <alignment horizontal="center" vertical="center" readingOrder="1"/>
    </xf>
    <xf numFmtId="9" fontId="10" fillId="0" borderId="3" xfId="0" applyNumberFormat="1" applyFont="1" applyFill="1" applyBorder="1" applyAlignment="1">
      <alignment horizontal="center" vertical="center"/>
    </xf>
    <xf numFmtId="10" fontId="5" fillId="0" borderId="0" xfId="0" applyNumberFormat="1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4" borderId="0" xfId="0" applyFont="1" applyFill="1" applyBorder="1" applyAlignment="1">
      <alignment horizontal="center" vertical="center"/>
    </xf>
    <xf numFmtId="0" fontId="9" fillId="18" borderId="3" xfId="0" applyFont="1" applyFill="1" applyBorder="1" applyAlignment="1">
      <alignment horizontal="center" vertical="center" readingOrder="1"/>
    </xf>
    <xf numFmtId="0" fontId="10" fillId="18" borderId="3" xfId="0" applyFont="1" applyFill="1" applyBorder="1" applyAlignment="1">
      <alignment horizontal="center" vertical="center" readingOrder="1"/>
    </xf>
    <xf numFmtId="0" fontId="0" fillId="0" borderId="0" xfId="0" applyFill="1" applyBorder="1" applyAlignment="1">
      <alignment vertical="center"/>
    </xf>
    <xf numFmtId="0" fontId="11" fillId="0" borderId="0" xfId="0" applyFont="1" applyFill="1" applyAlignment="1">
      <alignment horizontal="center" vertical="center" readingOrder="1"/>
    </xf>
    <xf numFmtId="0" fontId="10" fillId="0" borderId="4" xfId="0" applyFont="1" applyFill="1" applyBorder="1" applyAlignment="1">
      <alignment horizontal="center" vertical="center"/>
    </xf>
    <xf numFmtId="0" fontId="10" fillId="0" borderId="5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12" fillId="0" borderId="3" xfId="0" applyFont="1" applyFill="1" applyBorder="1" applyAlignment="1">
      <alignment horizontal="center" vertical="center"/>
    </xf>
    <xf numFmtId="0" fontId="13" fillId="0" borderId="3" xfId="0" applyFont="1" applyFill="1" applyBorder="1" applyAlignment="1">
      <alignment horizontal="center" vertical="center"/>
    </xf>
    <xf numFmtId="0" fontId="14" fillId="0" borderId="3" xfId="0" applyFont="1" applyFill="1" applyBorder="1" applyAlignment="1">
      <alignment horizontal="center" vertical="center"/>
    </xf>
    <xf numFmtId="0" fontId="15" fillId="0" borderId="3" xfId="0" applyFont="1" applyFill="1" applyBorder="1" applyAlignment="1">
      <alignment horizontal="center" vertical="center" readingOrder="1"/>
    </xf>
    <xf numFmtId="0" fontId="15" fillId="0" borderId="3" xfId="0" applyNumberFormat="1" applyFont="1" applyFill="1" applyBorder="1" applyAlignment="1">
      <alignment horizontal="center" vertical="center"/>
    </xf>
    <xf numFmtId="0" fontId="15" fillId="0" borderId="3" xfId="0" applyFont="1" applyFill="1" applyBorder="1" applyAlignment="1">
      <alignment horizontal="center" vertical="center"/>
    </xf>
    <xf numFmtId="0" fontId="1" fillId="0" borderId="3" xfId="0" applyNumberFormat="1" applyFont="1" applyFill="1" applyBorder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5" fillId="0" borderId="0" xfId="0" applyNumberFormat="1" applyFont="1" applyFill="1" applyAlignment="1">
      <alignment horizontal="center" vertical="center"/>
    </xf>
    <xf numFmtId="9" fontId="10" fillId="0" borderId="6" xfId="0" applyNumberFormat="1" applyFont="1" applyFill="1" applyBorder="1" applyAlignment="1">
      <alignment horizontal="center" vertical="center"/>
    </xf>
    <xf numFmtId="9" fontId="10" fillId="0" borderId="7" xfId="0" applyNumberFormat="1" applyFon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tabSelected="1" topLeftCell="A23" workbookViewId="0">
      <selection activeCell="L39" sqref="L39"/>
    </sheetView>
  </sheetViews>
  <sheetFormatPr defaultColWidth="8.88888888888889" defaultRowHeight="14.4"/>
  <cols>
    <col min="1" max="1" width="17.4444444444444" style="1" customWidth="1"/>
    <col min="2" max="2" width="19.1111111111111" style="1" customWidth="1"/>
    <col min="3" max="3" width="27.8888888888889" style="1" customWidth="1"/>
    <col min="4" max="4" width="8.44444444444444" style="1" customWidth="1"/>
    <col min="5" max="5" width="9.88888888888889" style="1" customWidth="1"/>
    <col min="6" max="6" width="8.11111111111111" style="1" customWidth="1"/>
    <col min="7" max="7" width="11" style="1" customWidth="1"/>
    <col min="8" max="8" width="13.2222222222222" style="1" customWidth="1"/>
    <col min="9" max="9" width="7.25" style="1" customWidth="1"/>
    <col min="10" max="10" width="8.88888888888889" style="1" hidden="1" customWidth="1"/>
    <col min="11" max="11" width="8.88888888888889" style="1"/>
    <col min="12" max="12" width="12.8888888888889" style="1"/>
    <col min="13" max="13" width="27.8888888888889" style="1" customWidth="1"/>
    <col min="14" max="16384" width="8.88888888888889" style="1"/>
  </cols>
  <sheetData>
    <row r="1" s="1" customFormat="1" customHeight="1"/>
    <row r="2" s="1" customFormat="1" ht="15.6" customHeight="1" spans="1:10">
      <c r="B2" s="2" t="s">
        <v>0</v>
      </c>
      <c r="C2" s="3"/>
      <c r="D2" s="3"/>
      <c r="E2" s="3"/>
      <c r="F2" s="3"/>
      <c r="G2" s="3"/>
      <c r="H2" s="3"/>
      <c r="I2" s="3"/>
      <c r="J2" s="3"/>
    </row>
    <row r="3" s="1" customFormat="1" ht="15.6" customHeight="1" spans="1:10">
      <c r="B3" s="4" t="s">
        <v>1</v>
      </c>
      <c r="C3" s="5" t="s">
        <v>2</v>
      </c>
      <c r="D3" s="6" t="s">
        <v>3</v>
      </c>
      <c r="E3" s="7" t="s">
        <v>4</v>
      </c>
      <c r="F3" s="8" t="s">
        <v>5</v>
      </c>
      <c r="G3" s="9" t="s">
        <v>6</v>
      </c>
      <c r="H3" s="10" t="s">
        <v>7</v>
      </c>
      <c r="I3" s="11" t="s">
        <v>8</v>
      </c>
      <c r="J3" s="12" t="s">
        <v>9</v>
      </c>
    </row>
    <row r="4" s="1" customFormat="1" ht="15.6" customHeight="1" spans="1:10">
      <c r="A4" s="13"/>
      <c r="B4" s="14" t="s">
        <v>10</v>
      </c>
      <c r="C4" s="15" t="s">
        <v>11</v>
      </c>
      <c r="D4" s="16"/>
      <c r="E4" s="16"/>
      <c r="F4" s="16"/>
      <c r="G4" s="16"/>
      <c r="H4" s="16"/>
      <c r="I4" s="17">
        <f>SUM(D4:H4)</f>
        <v>0</v>
      </c>
      <c r="J4" s="18" t="e">
        <f>D4/(I4-F4)</f>
        <v>#DIV/0!</v>
      </c>
    </row>
    <row r="5" s="1" customFormat="1" ht="15.6" customHeight="1" spans="1:10">
      <c r="B5" s="19"/>
      <c r="C5" s="14" t="s">
        <v>8</v>
      </c>
      <c r="D5" s="20">
        <f t="shared" ref="D5:I5" si="0">SUM(D4:D4)</f>
        <v>0</v>
      </c>
      <c r="E5" s="21">
        <f t="shared" si="0"/>
        <v>0</v>
      </c>
      <c r="F5" s="22">
        <f t="shared" si="0"/>
        <v>0</v>
      </c>
      <c r="G5" s="23">
        <f t="shared" si="0"/>
        <v>0</v>
      </c>
      <c r="H5" s="24">
        <f t="shared" si="0"/>
        <v>0</v>
      </c>
      <c r="I5" s="25">
        <f t="shared" si="0"/>
        <v>0</v>
      </c>
      <c r="J5" s="26" t="e">
        <f>D5/(I5-F5)</f>
        <v>#DIV/0!</v>
      </c>
    </row>
    <row r="6" s="1" customFormat="1" ht="15.6" spans="1:10">
      <c r="D6" s="27" t="s">
        <v>12</v>
      </c>
      <c r="E6" s="27"/>
      <c r="F6" s="27"/>
      <c r="G6" s="28" t="e">
        <f>(D5+E5)/(I5-F5)</f>
        <v>#DIV/0!</v>
      </c>
      <c r="H6" s="28"/>
      <c r="I6" s="28"/>
    </row>
    <row r="7" s="1" customFormat="1" ht="15.6" spans="1:10">
      <c r="D7" s="29" t="s">
        <v>13</v>
      </c>
      <c r="E7" s="29"/>
      <c r="F7" s="29"/>
      <c r="G7" s="30" t="e">
        <f>D5/(I5-F5)</f>
        <v>#DIV/0!</v>
      </c>
      <c r="H7" s="30"/>
      <c r="I7" s="30"/>
    </row>
    <row r="10" s="1" customFormat="1" ht="15.6" spans="1:10">
      <c r="B10" s="2" t="s">
        <v>14</v>
      </c>
      <c r="C10" s="3"/>
      <c r="D10" s="3"/>
      <c r="E10" s="3"/>
      <c r="F10" s="3"/>
      <c r="G10" s="3"/>
      <c r="H10" s="3"/>
      <c r="I10" s="3"/>
      <c r="J10" s="3"/>
    </row>
    <row r="11" s="1" customFormat="1" ht="18" customHeight="1" spans="1:10">
      <c r="B11" s="4" t="s">
        <v>1</v>
      </c>
      <c r="C11" s="5" t="s">
        <v>2</v>
      </c>
      <c r="D11" s="6" t="s">
        <v>3</v>
      </c>
      <c r="E11" s="7" t="s">
        <v>4</v>
      </c>
      <c r="F11" s="8" t="s">
        <v>5</v>
      </c>
      <c r="G11" s="9" t="s">
        <v>6</v>
      </c>
      <c r="H11" s="10" t="s">
        <v>7</v>
      </c>
      <c r="I11" s="11" t="s">
        <v>8</v>
      </c>
      <c r="J11" s="12" t="s">
        <v>9</v>
      </c>
    </row>
    <row r="12" s="1" customFormat="1" ht="15.6" spans="1:10">
      <c r="B12" s="14" t="s">
        <v>15</v>
      </c>
      <c r="C12" s="15" t="s">
        <v>11</v>
      </c>
      <c r="D12" s="16"/>
      <c r="E12" s="16"/>
      <c r="F12" s="16"/>
      <c r="G12" s="16"/>
      <c r="H12" s="16"/>
      <c r="I12" s="17">
        <f>SUM(D12:H12)</f>
        <v>0</v>
      </c>
      <c r="J12" s="26" t="e">
        <f t="shared" ref="J12:J14" si="1">D12/(I12-F12)</f>
        <v>#DIV/0!</v>
      </c>
    </row>
    <row r="13" s="1" customFormat="1" ht="15.6" spans="1:10">
      <c r="B13" s="31" t="s">
        <v>16</v>
      </c>
      <c r="C13" s="15" t="s">
        <v>17</v>
      </c>
      <c r="D13" s="16"/>
      <c r="E13" s="16"/>
      <c r="F13" s="16"/>
      <c r="G13" s="16"/>
      <c r="H13" s="16"/>
      <c r="I13" s="17">
        <f>SUM(D13:H13)</f>
        <v>0</v>
      </c>
      <c r="J13" s="26" t="e">
        <f t="shared" si="1"/>
        <v>#DIV/0!</v>
      </c>
    </row>
    <row r="14" s="1" customFormat="1" ht="15.6" spans="1:10">
      <c r="B14" s="32"/>
      <c r="C14" s="14" t="s">
        <v>8</v>
      </c>
      <c r="D14" s="20">
        <f t="shared" ref="D14:I14" si="2">SUM(D12:D13)</f>
        <v>0</v>
      </c>
      <c r="E14" s="21">
        <f t="shared" si="2"/>
        <v>0</v>
      </c>
      <c r="F14" s="22">
        <f t="shared" si="2"/>
        <v>0</v>
      </c>
      <c r="G14" s="23">
        <f t="shared" si="2"/>
        <v>0</v>
      </c>
      <c r="H14" s="24">
        <f t="shared" si="2"/>
        <v>0</v>
      </c>
      <c r="I14" s="25">
        <f t="shared" si="2"/>
        <v>0</v>
      </c>
      <c r="J14" s="26" t="e">
        <f t="shared" si="1"/>
        <v>#DIV/0!</v>
      </c>
    </row>
    <row r="15" s="1" customFormat="1" ht="15.6" spans="1:10">
      <c r="D15" s="27" t="s">
        <v>12</v>
      </c>
      <c r="E15" s="27"/>
      <c r="F15" s="27"/>
      <c r="G15" s="28" t="e">
        <f>(D14+E14)/(I14-F14)</f>
        <v>#DIV/0!</v>
      </c>
      <c r="H15" s="28"/>
      <c r="I15" s="28"/>
    </row>
    <row r="16" s="1" customFormat="1" ht="15.6" spans="1:10">
      <c r="D16" s="29" t="s">
        <v>13</v>
      </c>
      <c r="E16" s="29"/>
      <c r="F16" s="29"/>
      <c r="G16" s="30" t="e">
        <f>D14/(I14-F14)</f>
        <v>#DIV/0!</v>
      </c>
      <c r="H16" s="30"/>
      <c r="I16" s="30"/>
    </row>
    <row r="18" customFormat="1" ht="15.6" spans="1:10">
      <c r="A18" s="1"/>
      <c r="B18" s="2" t="s">
        <v>18</v>
      </c>
      <c r="C18" s="3"/>
      <c r="D18" s="3"/>
      <c r="E18" s="3"/>
      <c r="F18" s="3"/>
      <c r="G18" s="3"/>
      <c r="H18" s="3"/>
      <c r="I18" s="3"/>
      <c r="J18" s="3"/>
    </row>
    <row r="19" customFormat="1" ht="15.6" spans="1:10">
      <c r="A19" s="1"/>
      <c r="B19" s="4" t="s">
        <v>1</v>
      </c>
      <c r="C19" s="5" t="s">
        <v>2</v>
      </c>
      <c r="D19" s="6" t="s">
        <v>3</v>
      </c>
      <c r="E19" s="7" t="s">
        <v>4</v>
      </c>
      <c r="F19" s="8" t="s">
        <v>5</v>
      </c>
      <c r="G19" s="9" t="s">
        <v>6</v>
      </c>
      <c r="H19" s="10" t="s">
        <v>7</v>
      </c>
      <c r="I19" s="11" t="s">
        <v>8</v>
      </c>
      <c r="J19" s="12" t="s">
        <v>9</v>
      </c>
    </row>
    <row r="20" customFormat="1" ht="15.6" spans="1:10">
      <c r="A20" s="1"/>
      <c r="B20" s="14" t="s">
        <v>19</v>
      </c>
      <c r="C20" s="15" t="s">
        <v>11</v>
      </c>
      <c r="D20" s="16"/>
      <c r="E20" s="16"/>
      <c r="F20" s="16"/>
      <c r="G20" s="16"/>
      <c r="H20" s="16"/>
      <c r="I20" s="17">
        <f>SUM(D20:H20)</f>
        <v>0</v>
      </c>
      <c r="J20" s="26" t="e">
        <f>D20/(I20-F20)</f>
        <v>#DIV/0!</v>
      </c>
    </row>
    <row r="21" customFormat="1" ht="15.6" spans="1:10">
      <c r="A21" s="1"/>
      <c r="B21" s="32"/>
      <c r="C21" s="14" t="s">
        <v>8</v>
      </c>
      <c r="D21" s="20">
        <f t="shared" ref="D21:I21" si="3">SUM(D20:D20)</f>
        <v>0</v>
      </c>
      <c r="E21" s="21">
        <f t="shared" si="3"/>
        <v>0</v>
      </c>
      <c r="F21" s="22">
        <f t="shared" si="3"/>
        <v>0</v>
      </c>
      <c r="G21" s="23">
        <f t="shared" si="3"/>
        <v>0</v>
      </c>
      <c r="H21" s="24">
        <f t="shared" si="3"/>
        <v>0</v>
      </c>
      <c r="I21" s="25">
        <f t="shared" si="3"/>
        <v>0</v>
      </c>
      <c r="J21" s="26" t="e">
        <f>D21/(I21-F21)</f>
        <v>#DIV/0!</v>
      </c>
    </row>
    <row r="22" customFormat="1" ht="15.6" spans="1:10">
      <c r="A22" s="1"/>
      <c r="B22" s="1"/>
      <c r="C22" s="1"/>
      <c r="D22" s="27" t="s">
        <v>12</v>
      </c>
      <c r="E22" s="27"/>
      <c r="F22" s="27"/>
      <c r="G22" s="28" t="e">
        <f>(D21+E21)/(I21-F21)</f>
        <v>#DIV/0!</v>
      </c>
      <c r="H22" s="28"/>
      <c r="I22" s="28"/>
      <c r="J22" s="1"/>
    </row>
    <row r="23" customFormat="1" ht="15.6" spans="1:10">
      <c r="A23" s="1"/>
      <c r="B23" s="1"/>
      <c r="C23" s="1"/>
      <c r="D23" s="29" t="s">
        <v>13</v>
      </c>
      <c r="E23" s="29"/>
      <c r="F23" s="29"/>
      <c r="G23" s="30" t="e">
        <f>D21/(I21-F21)</f>
        <v>#DIV/0!</v>
      </c>
      <c r="H23" s="30"/>
      <c r="I23" s="30"/>
      <c r="J23" s="1"/>
    </row>
    <row r="24" customFormat="1" ht="15.6" spans="1:10">
      <c r="A24" s="1"/>
      <c r="B24" s="1"/>
      <c r="C24" s="1"/>
      <c r="D24" s="33"/>
      <c r="E24" s="33"/>
      <c r="F24" s="33"/>
      <c r="G24" s="34"/>
      <c r="H24" s="34"/>
      <c r="I24" s="35"/>
      <c r="J24" s="1"/>
    </row>
    <row r="25" s="1" customFormat="1" ht="15.6" spans="1:10">
      <c r="A25" s="1">
        <f>80+84</f>
        <v>164</v>
      </c>
      <c r="B25" s="36"/>
      <c r="C25" s="37" t="s">
        <v>20</v>
      </c>
      <c r="D25" s="37"/>
      <c r="E25" s="37"/>
      <c r="F25" s="37"/>
      <c r="G25" s="37"/>
      <c r="H25" s="37"/>
    </row>
    <row r="26" s="1" customFormat="1" ht="15.6" spans="1:10">
      <c r="C26" s="38" t="s">
        <v>21</v>
      </c>
      <c r="D26" s="29" t="s">
        <v>22</v>
      </c>
      <c r="E26" s="39" t="s">
        <v>23</v>
      </c>
      <c r="F26" s="40" t="s">
        <v>24</v>
      </c>
      <c r="G26" s="41" t="s">
        <v>25</v>
      </c>
      <c r="H26" s="42" t="s">
        <v>8</v>
      </c>
    </row>
    <row r="27" s="1" customFormat="1" ht="15.6" spans="1:10">
      <c r="C27" s="15" t="s">
        <v>11</v>
      </c>
      <c r="D27" s="43"/>
      <c r="E27" s="43"/>
      <c r="F27" s="44"/>
      <c r="G27" s="44"/>
      <c r="H27" s="45">
        <f>SUM(D27:G27)</f>
        <v>0</v>
      </c>
      <c r="I27" s="46"/>
    </row>
    <row r="28" s="1" customFormat="1" ht="15.6" spans="1:10">
      <c r="C28" s="38" t="s">
        <v>8</v>
      </c>
      <c r="D28" s="47">
        <f t="shared" ref="D28:H28" si="4">SUM(D27:D27)</f>
        <v>0</v>
      </c>
      <c r="E28" s="47">
        <f t="shared" si="4"/>
        <v>0</v>
      </c>
      <c r="F28" s="48">
        <f t="shared" si="4"/>
        <v>0</v>
      </c>
      <c r="G28" s="48">
        <f t="shared" si="4"/>
        <v>0</v>
      </c>
      <c r="H28" s="49">
        <f t="shared" si="4"/>
        <v>0</v>
      </c>
      <c r="I28" s="46"/>
    </row>
    <row r="29" s="1" customFormat="1" ht="15.6" spans="1:10">
      <c r="C29" s="50"/>
      <c r="D29" s="51" t="s">
        <v>26</v>
      </c>
      <c r="E29" s="51"/>
      <c r="F29" s="52" t="e">
        <f>(D28+E28)/H28</f>
        <v>#DIV/0!</v>
      </c>
      <c r="G29" s="52"/>
      <c r="H29" s="53"/>
      <c r="I29" s="46"/>
    </row>
    <row r="30" s="1" customFormat="1" ht="15.6" spans="1:10">
      <c r="B30" s="54"/>
      <c r="C30" s="55"/>
      <c r="D30" s="56" t="s">
        <v>27</v>
      </c>
      <c r="E30" s="57"/>
      <c r="F30" s="52" t="e">
        <f>(D28+E28+F28)/H28</f>
        <v>#DIV/0!</v>
      </c>
      <c r="G30" s="52"/>
      <c r="H30" s="58"/>
      <c r="I30" s="46"/>
    </row>
    <row r="31" s="1" customFormat="1" ht="15.6" spans="1:10">
      <c r="B31" s="54"/>
      <c r="C31" s="54"/>
      <c r="D31" s="59"/>
      <c r="E31" s="59"/>
      <c r="F31" s="60"/>
      <c r="G31" s="61"/>
      <c r="I31" s="46"/>
    </row>
    <row r="32" s="1" customFormat="1" ht="15.6" spans="1:10">
      <c r="B32" s="36"/>
      <c r="C32" s="37" t="s">
        <v>28</v>
      </c>
      <c r="D32" s="37"/>
      <c r="E32" s="37"/>
      <c r="F32" s="37"/>
      <c r="G32" s="37"/>
      <c r="H32" s="37"/>
      <c r="I32" s="46"/>
    </row>
    <row r="33" s="1" customFormat="1" ht="15.6" spans="2:9">
      <c r="B33" s="62"/>
      <c r="C33" s="38" t="s">
        <v>21</v>
      </c>
      <c r="D33" s="29" t="s">
        <v>22</v>
      </c>
      <c r="E33" s="39" t="s">
        <v>23</v>
      </c>
      <c r="F33" s="40" t="s">
        <v>24</v>
      </c>
      <c r="G33" s="41" t="s">
        <v>25</v>
      </c>
      <c r="H33" s="42" t="s">
        <v>8</v>
      </c>
      <c r="I33" s="46"/>
    </row>
    <row r="34" s="1" customFormat="1" ht="15.6" spans="2:9">
      <c r="B34" s="62"/>
      <c r="C34" s="15" t="s">
        <v>11</v>
      </c>
      <c r="D34" s="63"/>
      <c r="E34" s="63"/>
      <c r="F34" s="64"/>
      <c r="G34" s="64"/>
      <c r="H34" s="65">
        <f>SUM(D34:G34)</f>
        <v>0</v>
      </c>
      <c r="I34" s="46"/>
    </row>
    <row r="35" s="1" customFormat="1" ht="15.6" spans="2:9">
      <c r="B35" s="62"/>
      <c r="C35" s="38" t="s">
        <v>8</v>
      </c>
      <c r="D35" s="66">
        <f t="shared" ref="D35:H35" si="5">SUM(D34:D34)</f>
        <v>0</v>
      </c>
      <c r="E35" s="66">
        <f t="shared" si="5"/>
        <v>0</v>
      </c>
      <c r="F35" s="67">
        <f t="shared" si="5"/>
        <v>0</v>
      </c>
      <c r="G35" s="68">
        <f t="shared" si="5"/>
        <v>0</v>
      </c>
      <c r="H35" s="69">
        <f t="shared" si="5"/>
        <v>0</v>
      </c>
    </row>
    <row r="36" s="1" customFormat="1" ht="15.6" spans="2:9">
      <c r="B36" s="70"/>
      <c r="C36" s="54"/>
      <c r="D36" s="51" t="s">
        <v>26</v>
      </c>
      <c r="E36" s="51"/>
      <c r="F36" s="52" t="e">
        <f>(D35+E35)/H35</f>
        <v>#DIV/0!</v>
      </c>
      <c r="G36" s="52"/>
      <c r="H36" s="71"/>
    </row>
    <row r="37" s="1" customFormat="1" ht="15.6" spans="2:9">
      <c r="B37" s="70"/>
      <c r="C37" s="54"/>
      <c r="D37" s="56" t="s">
        <v>27</v>
      </c>
      <c r="E37" s="57"/>
      <c r="F37" s="72" t="e">
        <f>(D35+E35+F35)/H35</f>
        <v>#DIV/0!</v>
      </c>
      <c r="G37" s="73"/>
      <c r="H37" s="71"/>
    </row>
    <row r="39" ht="15.6" spans="2:9">
      <c r="C39" s="37" t="s">
        <v>29</v>
      </c>
      <c r="D39" s="37"/>
      <c r="E39" s="37"/>
      <c r="F39" s="37"/>
      <c r="G39" s="37"/>
      <c r="H39" s="37"/>
    </row>
    <row r="40" ht="15.6" spans="2:9">
      <c r="C40" s="38" t="s">
        <v>21</v>
      </c>
      <c r="D40" s="29" t="s">
        <v>22</v>
      </c>
      <c r="E40" s="39" t="s">
        <v>23</v>
      </c>
      <c r="F40" s="40" t="s">
        <v>24</v>
      </c>
      <c r="G40" s="41" t="s">
        <v>25</v>
      </c>
      <c r="H40" s="42" t="s">
        <v>8</v>
      </c>
    </row>
    <row r="41" ht="15.6" spans="2:9">
      <c r="C41" s="15" t="s">
        <v>11</v>
      </c>
      <c r="D41" s="43"/>
      <c r="E41" s="43"/>
      <c r="F41" s="44"/>
      <c r="G41" s="44"/>
      <c r="H41" s="45">
        <f>SUM(D41:G41)</f>
        <v>0</v>
      </c>
    </row>
    <row r="42" ht="15.6" spans="2:9">
      <c r="C42" s="38" t="s">
        <v>8</v>
      </c>
      <c r="D42" s="47">
        <f t="shared" ref="D42:H42" si="6">SUM(D41:D41)</f>
        <v>0</v>
      </c>
      <c r="E42" s="47">
        <f t="shared" si="6"/>
        <v>0</v>
      </c>
      <c r="F42" s="48">
        <f t="shared" si="6"/>
        <v>0</v>
      </c>
      <c r="G42" s="48">
        <f t="shared" si="6"/>
        <v>0</v>
      </c>
      <c r="H42" s="49">
        <f t="shared" si="6"/>
        <v>0</v>
      </c>
    </row>
    <row r="43" s="1" customFormat="1" ht="16" customHeight="1" spans="2:9">
      <c r="C43" s="50"/>
      <c r="D43" s="51" t="s">
        <v>26</v>
      </c>
      <c r="E43" s="51"/>
      <c r="F43" s="52" t="e">
        <f>(D42+E42)/H42</f>
        <v>#DIV/0!</v>
      </c>
      <c r="G43" s="52"/>
      <c r="H43" s="53"/>
    </row>
    <row r="44" ht="15.6" spans="2:9">
      <c r="C44" s="55"/>
      <c r="D44" s="56" t="s">
        <v>27</v>
      </c>
      <c r="E44" s="57"/>
      <c r="F44" s="52" t="e">
        <f>(D42+E42+F42)/H42</f>
        <v>#DIV/0!</v>
      </c>
      <c r="G44" s="52"/>
      <c r="H44" s="58"/>
    </row>
  </sheetData>
  <mergeCells count="30">
    <mergeCell ref="B2:J2"/>
    <mergeCell ref="D6:F6"/>
    <mergeCell ref="G6:I6"/>
    <mergeCell ref="D7:F7"/>
    <mergeCell ref="G7:I7"/>
    <mergeCell ref="B10:J10"/>
    <mergeCell ref="D15:F15"/>
    <mergeCell ref="G15:I15"/>
    <mergeCell ref="D16:F16"/>
    <mergeCell ref="G16:I16"/>
    <mergeCell ref="B18:J18"/>
    <mergeCell ref="D22:F22"/>
    <mergeCell ref="G22:I22"/>
    <mergeCell ref="D23:F23"/>
    <mergeCell ref="G23:I23"/>
    <mergeCell ref="C25:H25"/>
    <mergeCell ref="D29:E29"/>
    <mergeCell ref="F29:G29"/>
    <mergeCell ref="D30:E30"/>
    <mergeCell ref="F30:G30"/>
    <mergeCell ref="C32:H32"/>
    <mergeCell ref="D36:E36"/>
    <mergeCell ref="F36:G36"/>
    <mergeCell ref="D37:E37"/>
    <mergeCell ref="F37:G37"/>
    <mergeCell ref="C39:H39"/>
    <mergeCell ref="D43:E43"/>
    <mergeCell ref="F43:G43"/>
    <mergeCell ref="D44:E44"/>
    <mergeCell ref="F44:G44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08-09-26 (2)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sanjay.k</dc:creator>
  <cp:lastModifiedBy>WPS_1774380132</cp:lastModifiedBy>
  <dcterms:created xsi:type="dcterms:W3CDTF">2026-09-09T07:37:25Z</dcterms:created>
  <dcterms:modified xsi:type="dcterms:W3CDTF">2026-09-09T07:38:32Z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EE47F4B678704ED684493ACACADCA5CF_11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1</vt:i4>
  </property>
</Properties>
</file>