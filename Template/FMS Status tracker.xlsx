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FMS Status Tracker-04-06-26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<sst xmlns="http://schemas.openxmlformats.org/spreadsheetml/2006/main" count="74" uniqueCount="35">
  <si>
    <t>Sprint 1 – General Kenya | Module-wise Daily Status</t>
  </si>
  <si>
    <t>Lead Champion</t>
  </si>
  <si>
    <t>MODULE</t>
  </si>
  <si>
    <t xml:space="preserve">Passed </t>
  </si>
  <si>
    <t xml:space="preserve">Failed </t>
  </si>
  <si>
    <t>Blocked</t>
  </si>
  <si>
    <t>In Progress</t>
  </si>
  <si>
    <t>Not Executed</t>
  </si>
  <si>
    <t>Total</t>
  </si>
  <si>
    <t>Jessica Doreen</t>
  </si>
  <si>
    <t>Accounts Payable</t>
  </si>
  <si>
    <t>Kasive</t>
  </si>
  <si>
    <t>Budgeting</t>
  </si>
  <si>
    <t>Angelica Songok</t>
  </si>
  <si>
    <t>Fixed Assets Management</t>
  </si>
  <si>
    <t>Obadiah</t>
  </si>
  <si>
    <t>Procurement</t>
  </si>
  <si>
    <t>Monicah Waititu</t>
  </si>
  <si>
    <t>Tax Management</t>
  </si>
  <si>
    <t xml:space="preserve">Execution Rate </t>
  </si>
  <si>
    <t>Overall Pass Rate</t>
  </si>
  <si>
    <t xml:space="preserve"> General Kenya Sprint 1 Defect Summary</t>
  </si>
  <si>
    <t xml:space="preserve"> Module</t>
  </si>
  <si>
    <t xml:space="preserve">Closed </t>
  </si>
  <si>
    <t>Deferred</t>
  </si>
  <si>
    <t>Fixed</t>
  </si>
  <si>
    <t>Pending</t>
  </si>
  <si>
    <t>Closure Rate</t>
  </si>
  <si>
    <t>Resolution Rate</t>
  </si>
  <si>
    <t>Sprint 1 – Life Kenya| Module-wise Daily Status Report</t>
  </si>
  <si>
    <t>Margaret Wangari</t>
  </si>
  <si>
    <t>Benson Nzimi</t>
  </si>
  <si>
    <t>Lilian Njuguna</t>
  </si>
  <si>
    <t>Allan Ndungu</t>
  </si>
  <si>
    <t xml:space="preserve"> Life Kenya Sprint 1 Defect Summary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</si>
</sst>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b/>
      <sz val="12"/>
      <color theme="1"/>
      <name val="Calibri"/>
      <charset val="134"/>
    </font>
    <font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FF0000"/>
      <name val="Calibri"/>
      <charset val="134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0"/>
      <scheme val="minor"/>
    </font>
    <font>
      <b/>
      <sz val="11"/>
      <color rgb="FF000000"/>
      <name val="Calibri"/>
      <charset val="0"/>
      <scheme val="minor"/>
    </font>
    <font>
      <b/>
      <sz val="12"/>
      <color rgb="FF000000"/>
      <name val="Calibri"/>
      <charset val="0"/>
      <scheme val="minor"/>
    </font>
    <font>
      <b/>
      <sz val="12"/>
      <color rgb="FF000000"/>
      <name val="Calibri"/>
      <charset val="0"/>
    </font>
    <font>
      <b/>
      <sz val="11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ADADAD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8" borderId="9" applyNumberFormat="0" applyAlignment="0" applyProtection="0">
      <alignment vertical="center"/>
    </xf>
    <xf numFmtId="0" fontId="22" fillId="19" borderId="10" applyNumberFormat="0" applyAlignment="0" applyProtection="0">
      <alignment vertical="center"/>
    </xf>
    <xf numFmtId="0" fontId="23" fillId="19" borderId="9" applyNumberFormat="0" applyAlignment="0" applyProtection="0">
      <alignment vertical="center"/>
    </xf>
    <xf numFmtId="0" fontId="24" fillId="20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 readingOrder="1"/>
    </xf>
    <xf numFmtId="0" fontId="2" fillId="6" borderId="2" xfId="0" applyFont="1" applyFill="1" applyBorder="1" applyAlignment="1">
      <alignment horizontal="center" vertical="center" wrapText="1" readingOrder="1"/>
    </xf>
    <xf numFmtId="0" fontId="3" fillId="7" borderId="2" xfId="0" applyFont="1" applyFill="1" applyBorder="1" applyAlignment="1">
      <alignment horizontal="center" vertical="center" wrapText="1" readingOrder="1"/>
    </xf>
    <xf numFmtId="0" fontId="3" fillId="8" borderId="2" xfId="0" applyFont="1" applyFill="1" applyBorder="1" applyAlignment="1">
      <alignment horizontal="center" vertical="center" wrapText="1" readingOrder="1"/>
    </xf>
    <xf numFmtId="0" fontId="3" fillId="9" borderId="2" xfId="0" applyFont="1" applyFill="1" applyBorder="1" applyAlignment="1">
      <alignment horizontal="center" vertical="center" wrapText="1" readingOrder="1"/>
    </xf>
    <xf numFmtId="0" fontId="2" fillId="10" borderId="2" xfId="0" applyFont="1" applyFill="1" applyBorder="1" applyAlignment="1">
      <alignment horizontal="center" vertical="center" wrapText="1" readingOrder="1"/>
    </xf>
    <xf numFmtId="0" fontId="4" fillId="0" borderId="0" xfId="0" applyFont="1" applyFill="1" applyBorder="1">
      <alignment vertical="center"/>
    </xf>
    <xf numFmtId="0" fontId="2" fillId="0" borderId="3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vertical="center"/>
    </xf>
    <xf numFmtId="0" fontId="2" fillId="5" borderId="3" xfId="0" applyFont="1" applyFill="1" applyBorder="1" applyAlignment="1">
      <alignment horizontal="center" vertical="center" wrapText="1" readingOrder="1"/>
    </xf>
    <xf numFmtId="0" fontId="2" fillId="6" borderId="3" xfId="0" applyFont="1" applyFill="1" applyBorder="1" applyAlignment="1">
      <alignment horizontal="center" vertical="center" wrapText="1" readingOrder="1"/>
    </xf>
    <xf numFmtId="0" fontId="3" fillId="7" borderId="3" xfId="0" applyFont="1" applyFill="1" applyBorder="1" applyAlignment="1">
      <alignment horizontal="center" vertical="center" wrapText="1" readingOrder="1"/>
    </xf>
    <xf numFmtId="0" fontId="3" fillId="8" borderId="3" xfId="0" applyFont="1" applyFill="1" applyBorder="1" applyAlignment="1">
      <alignment horizontal="center" vertical="center" wrapText="1" readingOrder="1"/>
    </xf>
    <xf numFmtId="0" fontId="3" fillId="9" borderId="3" xfId="0" applyFont="1" applyFill="1" applyBorder="1" applyAlignment="1">
      <alignment horizontal="center" vertical="center" wrapText="1" readingOrder="1"/>
    </xf>
    <xf numFmtId="0" fontId="5" fillId="2" borderId="3" xfId="0" applyNumberFormat="1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9" fontId="5" fillId="0" borderId="3" xfId="3" applyNumberFormat="1" applyFont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9" fontId="5" fillId="0" borderId="3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9" fontId="5" fillId="0" borderId="0" xfId="0" applyNumberFormat="1" applyFont="1" applyFill="1" applyAlignment="1">
      <alignment horizontal="center" vertical="center"/>
    </xf>
    <xf numFmtId="0" fontId="1" fillId="1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3" xfId="0" applyNumberFormat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 readingOrder="1"/>
    </xf>
    <xf numFmtId="0" fontId="10" fillId="0" borderId="3" xfId="0" applyNumberFormat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1" fillId="13" borderId="3" xfId="0" applyFont="1" applyFill="1" applyBorder="1" applyAlignment="1">
      <alignment horizontal="center" vertical="center" readingOrder="1"/>
    </xf>
    <xf numFmtId="9" fontId="11" fillId="0" borderId="3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12" fillId="16" borderId="3" xfId="0" applyFont="1" applyFill="1" applyBorder="1" applyAlignment="1">
      <alignment horizontal="center" vertical="center" readingOrder="1"/>
    </xf>
    <xf numFmtId="0" fontId="11" fillId="16" borderId="3" xfId="0" applyFont="1" applyFill="1" applyBorder="1" applyAlignment="1">
      <alignment horizontal="center" vertical="center" readingOrder="1"/>
    </xf>
    <xf numFmtId="9" fontId="11" fillId="0" borderId="4" xfId="0" applyNumberFormat="1" applyFont="1" applyFill="1" applyBorder="1" applyAlignment="1">
      <alignment horizontal="center" vertical="center"/>
    </xf>
    <xf numFmtId="9" fontId="11" fillId="0" borderId="5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4"/>
  <sheetViews>
    <sheetView tabSelected="1" topLeftCell="A33" workbookViewId="0">
      <selection activeCell="J40" sqref="J40"/>
    </sheetView>
  </sheetViews>
  <sheetFormatPr defaultColWidth="8.88888888888889" defaultRowHeight="14.4"/>
  <cols>
    <col min="1" max="1" width="17.4444444444444" customWidth="1"/>
    <col min="2" max="2" width="19.6666666666667" customWidth="1"/>
    <col min="3" max="3" width="28.4444444444444" customWidth="1"/>
    <col min="4" max="4" width="8.44444444444444" customWidth="1"/>
    <col min="5" max="5" width="9.88888888888889" customWidth="1"/>
    <col min="6" max="6" width="8.11111111111111" customWidth="1"/>
    <col min="7" max="7" width="11" customWidth="1"/>
    <col min="8" max="8" width="13.2222222222222" customWidth="1"/>
    <col min="9" max="9" width="7.25" customWidth="1"/>
    <col min="11" max="11" width="12.8888888888889"/>
    <col min="12" max="12" width="27.8888888888889" customWidth="1"/>
  </cols>
  <sheetData>
    <row r="1" customHeight="1"/>
    <row r="2" customFormat="1" ht="15.6" customHeight="1" spans="1:9">
      <c r="B2" s="2" t="s">
        <v>0</v>
      </c>
      <c r="C2" s="3"/>
      <c r="D2" s="3"/>
      <c r="E2" s="3"/>
      <c r="F2" s="3"/>
      <c r="G2" s="3"/>
      <c r="H2" s="3"/>
      <c r="I2" s="3"/>
    </row>
    <row r="3" customFormat="1" ht="15.6" customHeight="1" spans="1:9">
      <c r="B3" s="4" t="s">
        <v>1</v>
      </c>
      <c r="C3" s="5" t="s">
        <v>2</v>
      </c>
      <c r="D3" s="6" t="s">
        <v>3</v>
      </c>
      <c r="E3" s="7" t="s">
        <v>4</v>
      </c>
      <c r="F3" s="8" t="s">
        <v>5</v>
      </c>
      <c r="G3" s="9" t="s">
        <v>6</v>
      </c>
      <c r="H3" s="10" t="s">
        <v>7</v>
      </c>
      <c r="I3" s="11" t="s">
        <v>8</v>
      </c>
    </row>
    <row r="4" customFormat="1" ht="15.6" customHeight="1" spans="1:9">
      <c r="A4" s="12"/>
      <c r="B4" s="13" t="s">
        <v>9</v>
      </c>
      <c r="C4" s="14" t="s">
        <v>10</v>
      </c>
      <c r="D4" s="15"/>
      <c r="E4" s="15"/>
      <c r="F4" s="15"/>
      <c r="G4" s="15"/>
      <c r="H4" s="15"/>
      <c r="I4" s="16">
        <f t="shared" ref="I4:I9" si="0">SUM(D4:H4)</f>
        <v>0</v>
      </c>
    </row>
    <row r="5" customFormat="1" ht="15.6" customHeight="1" spans="1:9">
      <c r="A5" s="17"/>
      <c r="B5" s="13" t="s">
        <v>11</v>
      </c>
      <c r="C5" s="14" t="s">
        <v>12</v>
      </c>
      <c r="D5" s="15"/>
      <c r="E5" s="15"/>
      <c r="F5" s="15"/>
      <c r="G5" s="15"/>
      <c r="H5" s="15"/>
      <c r="I5" s="16">
        <f t="shared" si="0"/>
        <v>0</v>
      </c>
    </row>
    <row r="6" customFormat="1" ht="15.6" customHeight="1" spans="1:9">
      <c r="B6" s="18" t="s">
        <v>13</v>
      </c>
      <c r="C6" s="14" t="s">
        <v>14</v>
      </c>
      <c r="D6" s="15"/>
      <c r="E6" s="15"/>
      <c r="F6" s="15"/>
      <c r="G6" s="15"/>
      <c r="H6" s="15"/>
      <c r="I6" s="16">
        <f t="shared" si="0"/>
        <v>0</v>
      </c>
    </row>
    <row r="7" customFormat="1" ht="15.6" customHeight="1" spans="1:9">
      <c r="B7" s="13" t="s">
        <v>15</v>
      </c>
      <c r="C7" s="14" t="s">
        <v>16</v>
      </c>
      <c r="D7" s="15"/>
      <c r="E7" s="15"/>
      <c r="F7" s="15"/>
      <c r="G7" s="15"/>
      <c r="H7" s="15"/>
      <c r="I7" s="16">
        <f t="shared" si="0"/>
        <v>0</v>
      </c>
    </row>
    <row r="8" customFormat="1" ht="15.6" customHeight="1" spans="1:9">
      <c r="B8" s="18" t="s">
        <v>17</v>
      </c>
      <c r="C8" s="14" t="s">
        <v>18</v>
      </c>
      <c r="D8" s="15"/>
      <c r="E8" s="15"/>
      <c r="F8" s="15"/>
      <c r="G8" s="15"/>
      <c r="H8" s="15"/>
      <c r="I8" s="16">
        <f t="shared" si="0"/>
        <v>0</v>
      </c>
    </row>
    <row r="9" customFormat="1" ht="15.6" customHeight="1" spans="1:9">
      <c r="B9" s="19"/>
      <c r="C9" s="13" t="s">
        <v>8</v>
      </c>
      <c r="D9" s="20"/>
      <c r="E9" s="21"/>
      <c r="F9" s="22"/>
      <c r="G9" s="23"/>
      <c r="H9" s="24"/>
      <c r="I9" s="25">
        <f t="shared" si="0"/>
        <v>0</v>
      </c>
    </row>
    <row r="10" customFormat="1" ht="15.6" spans="1:9">
      <c r="D10" s="26" t="s">
        <v>19</v>
      </c>
      <c r="E10" s="26"/>
      <c r="F10" s="26"/>
      <c r="G10" s="27" t="e">
        <f>(D9+E9)/(I9-F9)</f>
        <v>#DIV/0!</v>
      </c>
      <c r="H10" s="27"/>
      <c r="I10" s="27"/>
    </row>
    <row r="11" customFormat="1" ht="15.6" spans="1:9">
      <c r="B11" s="1"/>
      <c r="D11" s="28" t="s">
        <v>20</v>
      </c>
      <c r="E11" s="28"/>
      <c r="F11" s="28"/>
      <c r="G11" s="29" t="e">
        <f>D9/(I9-F9)</f>
        <v>#DIV/0!</v>
      </c>
      <c r="H11" s="29"/>
      <c r="I11" s="29"/>
    </row>
    <row r="12" s="1" customFormat="1" ht="15.6" spans="1:9">
      <c r="D12" s="30"/>
      <c r="E12" s="30"/>
      <c r="F12" s="30"/>
      <c r="G12" s="31"/>
      <c r="H12" s="31"/>
      <c r="I12" s="31"/>
    </row>
    <row r="13" s="1" customFormat="1" ht="15.6" spans="1:9">
      <c r="C13" s="32" t="s">
        <v>21</v>
      </c>
      <c r="D13" s="32"/>
      <c r="E13" s="32"/>
      <c r="F13" s="32"/>
      <c r="G13" s="32"/>
      <c r="H13" s="32"/>
      <c r="I13" s="31"/>
    </row>
    <row r="14" s="1" customFormat="1" ht="15.6" spans="1:9">
      <c r="C14" s="33" t="s">
        <v>22</v>
      </c>
      <c r="D14" s="34" t="s">
        <v>23</v>
      </c>
      <c r="E14" s="35" t="s">
        <v>24</v>
      </c>
      <c r="F14" s="36" t="s">
        <v>25</v>
      </c>
      <c r="G14" s="37" t="s">
        <v>26</v>
      </c>
      <c r="H14" s="33" t="s">
        <v>8</v>
      </c>
      <c r="I14" s="31"/>
    </row>
    <row r="15" s="1" customFormat="1" ht="15.6" spans="1:9">
      <c r="C15" s="14" t="s">
        <v>10</v>
      </c>
      <c r="D15" s="38"/>
      <c r="E15" s="38"/>
      <c r="F15" s="39"/>
      <c r="G15" s="39"/>
      <c r="H15" s="40">
        <f t="shared" ref="H15:H19" si="1">SUM(D15:G15)</f>
        <v>0</v>
      </c>
      <c r="I15" s="31"/>
    </row>
    <row r="16" s="1" customFormat="1" ht="15.6" spans="1:9">
      <c r="C16" s="14" t="s">
        <v>12</v>
      </c>
      <c r="D16" s="38"/>
      <c r="E16" s="38"/>
      <c r="F16" s="39"/>
      <c r="G16" s="39"/>
      <c r="H16" s="40">
        <f t="shared" si="1"/>
        <v>0</v>
      </c>
      <c r="I16" s="31"/>
    </row>
    <row r="17" s="1" customFormat="1" ht="15.6" spans="2:9">
      <c r="C17" s="14" t="s">
        <v>14</v>
      </c>
      <c r="D17" s="38"/>
      <c r="E17" s="38"/>
      <c r="F17" s="39"/>
      <c r="G17" s="39"/>
      <c r="H17" s="40">
        <f t="shared" si="1"/>
        <v>0</v>
      </c>
      <c r="I17" s="31"/>
    </row>
    <row r="18" s="1" customFormat="1" ht="15.6" spans="2:9">
      <c r="C18" s="14" t="s">
        <v>16</v>
      </c>
      <c r="D18" s="38"/>
      <c r="E18" s="38"/>
      <c r="F18" s="39"/>
      <c r="G18" s="39"/>
      <c r="H18" s="41">
        <f t="shared" si="1"/>
        <v>0</v>
      </c>
      <c r="I18" s="31"/>
    </row>
    <row r="19" s="1" customFormat="1" ht="15.6" spans="2:9">
      <c r="C19" s="14" t="s">
        <v>18</v>
      </c>
      <c r="D19" s="38"/>
      <c r="E19" s="38"/>
      <c r="F19" s="39"/>
      <c r="G19" s="39"/>
      <c r="H19" s="40">
        <f t="shared" si="1"/>
        <v>0</v>
      </c>
      <c r="I19" s="31"/>
    </row>
    <row r="20" s="1" customFormat="1" ht="15.6" spans="2:9">
      <c r="C20" s="33" t="s">
        <v>8</v>
      </c>
      <c r="D20" s="42">
        <f t="shared" ref="D20:H20" si="2">SUM(D15:D19)</f>
        <v>0</v>
      </c>
      <c r="E20" s="42">
        <f t="shared" si="2"/>
        <v>0</v>
      </c>
      <c r="F20" s="43">
        <f t="shared" si="2"/>
        <v>0</v>
      </c>
      <c r="G20" s="44">
        <f t="shared" si="2"/>
        <v>0</v>
      </c>
      <c r="H20" s="45">
        <f t="shared" si="2"/>
        <v>0</v>
      </c>
      <c r="I20" s="31"/>
    </row>
    <row r="21" ht="15.6" spans="2:9">
      <c r="C21" s="46"/>
      <c r="D21" s="47" t="s">
        <v>27</v>
      </c>
      <c r="E21" s="47"/>
      <c r="F21" s="48" t="e">
        <f>(D20+E20)/H20</f>
        <v>#DIV/0!</v>
      </c>
      <c r="G21" s="48"/>
      <c r="H21" s="49"/>
    </row>
    <row r="22" ht="15.6" spans="2:9">
      <c r="C22" s="46"/>
      <c r="D22" s="50" t="s">
        <v>28</v>
      </c>
      <c r="E22" s="51"/>
      <c r="F22" s="52" t="e">
        <f>(D20+E20+F20)/H20</f>
        <v>#DIV/0!</v>
      </c>
      <c r="G22" s="53"/>
      <c r="H22" s="49"/>
    </row>
    <row r="24" ht="15.6" spans="2:9">
      <c r="B24" s="2" t="s">
        <v>29</v>
      </c>
      <c r="C24" s="3"/>
      <c r="D24" s="3"/>
      <c r="E24" s="3"/>
      <c r="F24" s="3"/>
      <c r="G24" s="3"/>
      <c r="H24" s="3"/>
      <c r="I24" s="3"/>
    </row>
    <row r="25" ht="18" customHeight="1" spans="2:9">
      <c r="B25" s="4" t="s">
        <v>1</v>
      </c>
      <c r="C25" s="5" t="s">
        <v>2</v>
      </c>
      <c r="D25" s="6" t="s">
        <v>3</v>
      </c>
      <c r="E25" s="7" t="s">
        <v>4</v>
      </c>
      <c r="F25" s="8" t="s">
        <v>5</v>
      </c>
      <c r="G25" s="9" t="s">
        <v>6</v>
      </c>
      <c r="H25" s="10" t="s">
        <v>7</v>
      </c>
      <c r="I25" s="11" t="s">
        <v>8</v>
      </c>
    </row>
    <row r="26" customFormat="1" ht="15.6" spans="2:9">
      <c r="B26" s="13" t="s">
        <v>30</v>
      </c>
      <c r="C26" s="14" t="s">
        <v>10</v>
      </c>
      <c r="D26" s="15"/>
      <c r="E26" s="15"/>
      <c r="F26" s="15"/>
      <c r="G26" s="15"/>
      <c r="H26" s="15"/>
      <c r="I26" s="16">
        <f t="shared" ref="I26:I31" si="3">SUM(D26:H26)</f>
        <v>0</v>
      </c>
    </row>
    <row r="27" customFormat="1" ht="15.6" spans="2:9">
      <c r="B27" s="18" t="s">
        <v>31</v>
      </c>
      <c r="C27" s="14" t="s">
        <v>12</v>
      </c>
      <c r="D27" s="15"/>
      <c r="E27" s="15"/>
      <c r="F27" s="15"/>
      <c r="G27" s="15"/>
      <c r="H27" s="15"/>
      <c r="I27" s="16">
        <f t="shared" si="3"/>
        <v>0</v>
      </c>
    </row>
    <row r="28" customFormat="1" ht="15.6" spans="2:9">
      <c r="B28" s="13" t="s">
        <v>32</v>
      </c>
      <c r="C28" s="14" t="s">
        <v>14</v>
      </c>
      <c r="D28" s="15"/>
      <c r="E28" s="15"/>
      <c r="F28" s="15"/>
      <c r="G28" s="15"/>
      <c r="H28" s="15"/>
      <c r="I28" s="16">
        <f t="shared" si="3"/>
        <v>0</v>
      </c>
    </row>
    <row r="29" customFormat="1" ht="15.6" spans="2:9">
      <c r="B29" s="13" t="s">
        <v>33</v>
      </c>
      <c r="C29" s="14" t="s">
        <v>16</v>
      </c>
      <c r="D29" s="15"/>
      <c r="E29" s="15"/>
      <c r="F29" s="15"/>
      <c r="G29" s="15"/>
      <c r="H29" s="15"/>
      <c r="I29" s="16">
        <f t="shared" si="3"/>
        <v>0</v>
      </c>
    </row>
    <row r="30" customFormat="1" ht="15.6" spans="2:9">
      <c r="B30" s="13" t="s">
        <v>32</v>
      </c>
      <c r="C30" s="14" t="s">
        <v>18</v>
      </c>
      <c r="D30" s="15"/>
      <c r="E30" s="15"/>
      <c r="F30" s="15"/>
      <c r="G30" s="15"/>
      <c r="H30" s="15"/>
      <c r="I30" s="16">
        <f t="shared" si="3"/>
        <v>0</v>
      </c>
    </row>
    <row r="31" customFormat="1" ht="15.6" spans="2:9">
      <c r="B31" s="54"/>
      <c r="C31" s="13" t="s">
        <v>8</v>
      </c>
      <c r="D31" s="20"/>
      <c r="E31" s="21"/>
      <c r="F31" s="22"/>
      <c r="G31" s="23"/>
      <c r="H31" s="24"/>
      <c r="I31" s="25">
        <f t="shared" si="3"/>
        <v>0</v>
      </c>
    </row>
    <row r="32" customFormat="1" ht="15.6" spans="2:9">
      <c r="D32" s="26" t="s">
        <v>19</v>
      </c>
      <c r="E32" s="26"/>
      <c r="F32" s="26"/>
      <c r="G32" s="27" t="e">
        <f>(D31+E31)/(I31-F31)</f>
        <v>#DIV/0!</v>
      </c>
      <c r="H32" s="27"/>
      <c r="I32" s="27"/>
    </row>
    <row r="33" customFormat="1" ht="15.6" spans="3:9">
      <c r="D33" s="28" t="s">
        <v>20</v>
      </c>
      <c r="E33" s="28"/>
      <c r="F33" s="28"/>
      <c r="G33" s="29" t="e">
        <f>D31/(I31-F31)</f>
        <v>#DIV/0!</v>
      </c>
      <c r="H33" s="29"/>
      <c r="I33" s="29"/>
    </row>
    <row r="35" ht="15.6" spans="3:9">
      <c r="C35" s="32" t="s">
        <v>34</v>
      </c>
      <c r="D35" s="32"/>
      <c r="E35" s="32"/>
      <c r="F35" s="32"/>
      <c r="G35" s="32"/>
      <c r="H35" s="32"/>
    </row>
    <row r="36" ht="15.6" spans="3:9">
      <c r="C36" s="33" t="s">
        <v>22</v>
      </c>
      <c r="D36" s="34" t="s">
        <v>23</v>
      </c>
      <c r="E36" s="35" t="s">
        <v>24</v>
      </c>
      <c r="F36" s="36" t="s">
        <v>25</v>
      </c>
      <c r="G36" s="37" t="s">
        <v>26</v>
      </c>
      <c r="H36" s="33" t="s">
        <v>8</v>
      </c>
    </row>
    <row r="37" ht="16" customHeight="1" spans="3:9">
      <c r="C37" s="14" t="s">
        <v>10</v>
      </c>
      <c r="D37" s="38"/>
      <c r="E37" s="38"/>
      <c r="F37" s="39"/>
      <c r="G37" s="39"/>
      <c r="H37" s="40">
        <f t="shared" ref="H37:H41" si="4">SUM(D37:G37)</f>
        <v>0</v>
      </c>
    </row>
    <row r="38" ht="15.6" spans="3:9">
      <c r="C38" s="14" t="s">
        <v>12</v>
      </c>
      <c r="D38" s="38"/>
      <c r="E38" s="38"/>
      <c r="F38" s="39"/>
      <c r="G38" s="39"/>
      <c r="H38" s="40">
        <f t="shared" si="4"/>
        <v>0</v>
      </c>
    </row>
    <row r="39" ht="15.6" spans="3:9">
      <c r="C39" s="14" t="s">
        <v>14</v>
      </c>
      <c r="D39" s="38"/>
      <c r="E39" s="38"/>
      <c r="F39" s="39"/>
      <c r="G39" s="39"/>
      <c r="H39" s="40">
        <f t="shared" si="4"/>
        <v>0</v>
      </c>
    </row>
    <row r="40" ht="15.6" spans="3:9">
      <c r="C40" s="14" t="s">
        <v>16</v>
      </c>
      <c r="D40" s="38"/>
      <c r="E40" s="38"/>
      <c r="F40" s="39"/>
      <c r="G40" s="39"/>
      <c r="H40" s="41">
        <f t="shared" si="4"/>
        <v>0</v>
      </c>
    </row>
    <row r="41" ht="15.6" spans="3:9">
      <c r="C41" s="14" t="s">
        <v>18</v>
      </c>
      <c r="D41" s="38"/>
      <c r="E41" s="38"/>
      <c r="F41" s="39"/>
      <c r="G41" s="39"/>
      <c r="H41" s="40">
        <f t="shared" si="4"/>
        <v>0</v>
      </c>
    </row>
    <row r="42" ht="15.6" spans="3:9">
      <c r="C42" s="33" t="s">
        <v>8</v>
      </c>
      <c r="D42" s="42">
        <f t="shared" ref="D42:H42" si="5">SUM(D37:D41)</f>
        <v>0</v>
      </c>
      <c r="E42" s="42">
        <f t="shared" si="5"/>
        <v>0</v>
      </c>
      <c r="F42" s="43">
        <f t="shared" si="5"/>
        <v>0</v>
      </c>
      <c r="G42" s="44">
        <f t="shared" si="5"/>
        <v>0</v>
      </c>
      <c r="H42" s="45">
        <f t="shared" si="5"/>
        <v>0</v>
      </c>
    </row>
    <row r="43" ht="15.6" spans="3:9">
      <c r="C43" s="46"/>
      <c r="D43" s="47" t="s">
        <v>27</v>
      </c>
      <c r="E43" s="47"/>
      <c r="F43" s="48" t="e">
        <f>(D42+E42)/H42</f>
        <v>#DIV/0!</v>
      </c>
      <c r="G43" s="48"/>
      <c r="H43" s="49"/>
    </row>
    <row r="44" ht="15.6" spans="3:9">
      <c r="C44" s="46"/>
      <c r="D44" s="50" t="s">
        <v>28</v>
      </c>
      <c r="E44" s="51"/>
      <c r="F44" s="52" t="e">
        <f>(D42+E42+F42)/H42</f>
        <v>#DIV/0!</v>
      </c>
      <c r="G44" s="53"/>
      <c r="H44" s="49"/>
    </row>
  </sheetData>
  <mergeCells count="20">
    <mergeCell ref="B2:I2"/>
    <mergeCell ref="D10:F10"/>
    <mergeCell ref="G10:I10"/>
    <mergeCell ref="D11:F11"/>
    <mergeCell ref="G11:I11"/>
    <mergeCell ref="C13:H13"/>
    <mergeCell ref="D21:E21"/>
    <mergeCell ref="F21:G21"/>
    <mergeCell ref="D22:E22"/>
    <mergeCell ref="F22:G22"/>
    <mergeCell ref="B24:I24"/>
    <mergeCell ref="D32:F32"/>
    <mergeCell ref="G32:I32"/>
    <mergeCell ref="D33:F33"/>
    <mergeCell ref="G33:I33"/>
    <mergeCell ref="C35:H35"/>
    <mergeCell ref="D43:E43"/>
    <mergeCell ref="F43:G43"/>
    <mergeCell ref="D44:E44"/>
    <mergeCell ref="F44:G44"/>
  </mergeCell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FMS Status Tracker-04-06-26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sanjay.k</dc:creator>
  <cp:lastModifiedBy>WPS_1774380132</cp:lastModifiedBy>
  <dcterms:created xsi:type="dcterms:W3CDTF">2026-08-06T14:24:00Z</dcterms:created>
  <dcterms:modified xsi:type="dcterms:W3CDTF">2026-08-10T17:29:17Z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22A0226213EC49B781170CC79CD29701_11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