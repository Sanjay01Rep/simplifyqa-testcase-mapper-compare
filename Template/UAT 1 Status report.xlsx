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<sst xmlns="http://schemas.openxmlformats.org/spreadsheetml/2006/main" count="117" uniqueCount="55">
  <si>
    <t>General Uganda | UAT-Module-wise Daily Status</t>
  </si>
  <si>
    <t>Entity</t>
  </si>
  <si>
    <t>Total</t>
  </si>
  <si>
    <t>Passed</t>
  </si>
  <si>
    <t>Failed</t>
  </si>
  <si>
    <t>Blocked</t>
  </si>
  <si>
    <t>In Progress</t>
  </si>
  <si>
    <t>Not Executed</t>
  </si>
  <si>
    <t>Execution %</t>
  </si>
  <si>
    <t>Pass %</t>
  </si>
  <si>
    <t>Status</t>
  </si>
  <si>
    <t>Lead Champion</t>
  </si>
  <si>
    <t>MODULE</t>
  </si>
  <si>
    <t xml:space="preserve">Passed </t>
  </si>
  <si>
    <t xml:space="preserve">Failed </t>
  </si>
  <si>
    <t>Pass Rate</t>
  </si>
  <si>
    <t>General Uganda</t>
  </si>
  <si>
    <t>Amber</t>
  </si>
  <si>
    <t>Bless Natukunda</t>
  </si>
  <si>
    <t>Fixed Assets Management</t>
  </si>
  <si>
    <t>▲ 22</t>
  </si>
  <si>
    <t>▼ 4</t>
  </si>
  <si>
    <t>▲ 1</t>
  </si>
  <si>
    <t>▼ 1</t>
  </si>
  <si>
    <t>was 37%</t>
  </si>
  <si>
    <t>was 36%</t>
  </si>
  <si>
    <t>Cash and Bank Management</t>
  </si>
  <si>
    <t>Life Uganda</t>
  </si>
  <si>
    <t/>
  </si>
  <si>
    <t>▲ 27</t>
  </si>
  <si>
    <t>–</t>
  </si>
  <si>
    <t xml:space="preserve">Execution Rate </t>
  </si>
  <si>
    <t>General Tanzania</t>
  </si>
  <si>
    <t>Overall Pass Rate</t>
  </si>
  <si>
    <t>▲ 39</t>
  </si>
  <si>
    <t>▼ 9</t>
  </si>
  <si>
    <t>▼ 2</t>
  </si>
  <si>
    <t>was 16%</t>
  </si>
  <si>
    <t>was 13%</t>
  </si>
  <si>
    <t>Life Uganda | UAT-Module-wise Daily Status</t>
  </si>
  <si>
    <t>Paul Amanywa</t>
  </si>
  <si>
    <t>Hellen Tayebwa</t>
  </si>
  <si>
    <t>General Tanzania  | UAT-Module-wise Daily Status</t>
  </si>
  <si>
    <t>Sabina Monah</t>
  </si>
  <si>
    <t>Joyce John</t>
  </si>
  <si>
    <t xml:space="preserve"> General Uganda Defect Summary</t>
  </si>
  <si>
    <t xml:space="preserve"> Module</t>
  </si>
  <si>
    <t xml:space="preserve">Closed </t>
  </si>
  <si>
    <t>Deferred</t>
  </si>
  <si>
    <t>Fixed</t>
  </si>
  <si>
    <t>Pending</t>
  </si>
  <si>
    <t>Closure Rate</t>
  </si>
  <si>
    <t>Resolution Rate</t>
  </si>
  <si>
    <t xml:space="preserve"> Life Uganda Defect Summary</t>
  </si>
  <si>
    <t xml:space="preserve"> General Tanzania Defect Summary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</si>
</sst>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2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b/>
      <sz val="9"/>
      <color rgb="FF222222"/>
      <name val="Calibri"/>
      <charset val="134"/>
      <scheme val="minor"/>
    </font>
    <font>
      <sz val="9"/>
      <color rgb="FF222222"/>
      <name val="Calibri"/>
      <charset val="134"/>
      <scheme val="minor"/>
    </font>
    <font>
      <b/>
      <sz val="9"/>
      <color rgb="FF00000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8"/>
      <color rgb="FF2E7D32"/>
      <name val="Calibri"/>
      <charset val="134"/>
      <scheme val="minor"/>
    </font>
    <font>
      <sz val="8"/>
      <color rgb="FFC62828"/>
      <name val="Calibri"/>
      <charset val="134"/>
      <scheme val="minor"/>
    </font>
    <font>
      <sz val="8"/>
      <color rgb="FF888888"/>
      <name val="Calibri"/>
      <charset val="134"/>
      <scheme val="minor"/>
    </font>
    <font>
      <b/>
      <sz val="12"/>
      <color theme="1"/>
      <name val="Calibri"/>
      <charset val="134"/>
    </font>
    <font>
      <b/>
      <sz val="11"/>
      <color rgb="FF000000"/>
      <name val="Calibri"/>
      <charset val="134"/>
    </font>
    <font>
      <b/>
      <sz val="12"/>
      <color rgb="FF000000"/>
      <name val="Aptos"/>
      <charset val="134"/>
    </font>
    <font>
      <b/>
      <sz val="12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ADADAD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BE5E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5B9BD5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70AD4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4" borderId="7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25" borderId="10" applyNumberFormat="0" applyAlignment="0" applyProtection="0">
      <alignment vertical="center"/>
    </xf>
    <xf numFmtId="0" fontId="26" fillId="26" borderId="11" applyNumberFormat="0" applyAlignment="0" applyProtection="0">
      <alignment vertical="center"/>
    </xf>
    <xf numFmtId="0" fontId="27" fillId="26" borderId="10" applyNumberFormat="0" applyAlignment="0" applyProtection="0">
      <alignment vertical="center"/>
    </xf>
    <xf numFmtId="0" fontId="28" fillId="27" borderId="12" applyNumberFormat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 readingOrder="1"/>
    </xf>
    <xf numFmtId="0" fontId="3" fillId="6" borderId="3" xfId="0" applyFont="1" applyFill="1" applyBorder="1" applyAlignment="1">
      <alignment horizontal="center" vertical="center" wrapText="1" readingOrder="1"/>
    </xf>
    <xf numFmtId="0" fontId="3" fillId="7" borderId="3" xfId="0" applyFont="1" applyFill="1" applyBorder="1" applyAlignment="1">
      <alignment horizontal="center" vertical="center" wrapText="1" readingOrder="1"/>
    </xf>
    <xf numFmtId="0" fontId="3" fillId="8" borderId="3" xfId="0" applyFont="1" applyFill="1" applyBorder="1" applyAlignment="1">
      <alignment horizontal="center" vertical="center" wrapText="1" readingOrder="1"/>
    </xf>
    <xf numFmtId="0" fontId="3" fillId="9" borderId="3" xfId="0" applyFont="1" applyFill="1" applyBorder="1" applyAlignment="1">
      <alignment horizontal="center" vertical="center" wrapText="1" readingOrder="1"/>
    </xf>
    <xf numFmtId="0" fontId="3" fillId="10" borderId="3" xfId="0" applyFont="1" applyFill="1" applyBorder="1" applyAlignment="1">
      <alignment horizontal="center" vertical="center" wrapText="1" readingOrder="1"/>
    </xf>
    <xf numFmtId="0" fontId="4" fillId="11" borderId="3" xfId="0" applyFont="1" applyFill="1" applyBorder="1" applyAlignment="1">
      <alignment vertical="center"/>
    </xf>
    <xf numFmtId="0" fontId="5" fillId="10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wrapText="1"/>
    </xf>
    <xf numFmtId="0" fontId="6" fillId="13" borderId="2" xfId="0" applyFont="1" applyFill="1" applyBorder="1" applyAlignment="1">
      <alignment horizontal="center" wrapText="1"/>
    </xf>
    <xf numFmtId="0" fontId="6" fillId="14" borderId="2" xfId="0" applyFont="1" applyFill="1" applyBorder="1" applyAlignment="1">
      <alignment horizontal="center" wrapText="1"/>
    </xf>
    <xf numFmtId="0" fontId="6" fillId="10" borderId="2" xfId="0" applyFont="1" applyFill="1" applyBorder="1" applyAlignment="1">
      <alignment horizontal="center" wrapText="1"/>
    </xf>
    <xf numFmtId="9" fontId="6" fillId="10" borderId="2" xfId="0" applyNumberFormat="1" applyFont="1" applyFill="1" applyBorder="1" applyAlignment="1">
      <alignment horizontal="center" wrapText="1"/>
    </xf>
    <xf numFmtId="0" fontId="7" fillId="15" borderId="2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vertical="center"/>
    </xf>
    <xf numFmtId="0" fontId="3" fillId="0" borderId="4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9" fontId="9" fillId="17" borderId="2" xfId="0" applyNumberFormat="1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wrapText="1"/>
    </xf>
    <xf numFmtId="0" fontId="10" fillId="13" borderId="2" xfId="0" applyFont="1" applyFill="1" applyBorder="1" applyAlignment="1">
      <alignment horizontal="center" wrapText="1"/>
    </xf>
    <xf numFmtId="0" fontId="11" fillId="14" borderId="2" xfId="0" applyFont="1" applyFill="1" applyBorder="1" applyAlignment="1">
      <alignment horizontal="center" wrapText="1"/>
    </xf>
    <xf numFmtId="0" fontId="10" fillId="10" borderId="2" xfId="0" applyFont="1" applyFill="1" applyBorder="1" applyAlignment="1">
      <alignment horizontal="center" wrapText="1"/>
    </xf>
    <xf numFmtId="0" fontId="12" fillId="10" borderId="2" xfId="0" applyFont="1" applyFill="1" applyBorder="1" applyAlignment="1">
      <alignment horizontal="center" wrapText="1"/>
    </xf>
    <xf numFmtId="0" fontId="3" fillId="0" borderId="3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 readingOrder="1"/>
    </xf>
    <xf numFmtId="0" fontId="3" fillId="6" borderId="2" xfId="0" applyFont="1" applyFill="1" applyBorder="1" applyAlignment="1">
      <alignment horizontal="center" vertical="center" wrapText="1" readingOrder="1"/>
    </xf>
    <xf numFmtId="0" fontId="3" fillId="7" borderId="2" xfId="0" applyFont="1" applyFill="1" applyBorder="1" applyAlignment="1">
      <alignment horizontal="center" vertical="center" wrapText="1" readingOrder="1"/>
    </xf>
    <xf numFmtId="0" fontId="3" fillId="8" borderId="2" xfId="0" applyFont="1" applyFill="1" applyBorder="1" applyAlignment="1">
      <alignment horizontal="center" vertical="center" wrapText="1" readingOrder="1"/>
    </xf>
    <xf numFmtId="0" fontId="3" fillId="9" borderId="2" xfId="0" applyFont="1" applyFill="1" applyBorder="1" applyAlignment="1">
      <alignment horizontal="center" vertical="center" wrapText="1" readingOrder="1"/>
    </xf>
    <xf numFmtId="0" fontId="14" fillId="18" borderId="2" xfId="0" applyFont="1" applyFill="1" applyBorder="1" applyAlignment="1">
      <alignment horizontal="center" vertical="center"/>
    </xf>
    <xf numFmtId="9" fontId="9" fillId="19" borderId="2" xfId="0" applyNumberFormat="1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center" vertical="center"/>
    </xf>
    <xf numFmtId="9" fontId="4" fillId="0" borderId="2" xfId="0" applyNumberFormat="1" applyFont="1" applyFill="1" applyBorder="1" applyAlignment="1">
      <alignment horizontal="center" vertical="center"/>
    </xf>
    <xf numFmtId="0" fontId="3" fillId="20" borderId="2" xfId="0" applyFont="1" applyFill="1" applyBorder="1" applyAlignment="1">
      <alignment horizontal="center" vertical="center"/>
    </xf>
    <xf numFmtId="0" fontId="0" fillId="3" borderId="0" xfId="0" applyFont="1" applyFill="1" applyAlignment="1">
      <alignment vertical="center"/>
    </xf>
    <xf numFmtId="0" fontId="13" fillId="4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9" fontId="4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3" fillId="21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14" fillId="22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readingOrder="1"/>
    </xf>
    <xf numFmtId="0" fontId="13" fillId="0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 readingOrder="1"/>
    </xf>
    <xf numFmtId="0" fontId="3" fillId="20" borderId="2" xfId="0" applyFont="1" applyFill="1" applyBorder="1" applyAlignment="1">
      <alignment horizontal="center" vertical="center" readingOrder="1"/>
    </xf>
    <xf numFmtId="9" fontId="3" fillId="0" borderId="2" xfId="0" applyNumberFormat="1" applyFont="1" applyFill="1" applyBorder="1" applyAlignment="1">
      <alignment horizontal="center" vertical="center"/>
    </xf>
    <xf numFmtId="10" fontId="13" fillId="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4" fillId="23" borderId="2" xfId="0" applyFont="1" applyFill="1" applyBorder="1" applyAlignment="1">
      <alignment horizontal="center" vertical="center" readingOrder="1"/>
    </xf>
    <xf numFmtId="0" fontId="15" fillId="0" borderId="0" xfId="0" applyFont="1" applyFill="1" applyAlignment="1">
      <alignment horizontal="center" vertical="center" readingOrder="1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 readingOrder="1"/>
    </xf>
    <xf numFmtId="0" fontId="16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V78"/>
  <sheetViews>
    <sheetView tabSelected="1" workbookViewId="0">
      <selection activeCell="L14" sqref="L14"/>
    </sheetView>
  </sheetViews>
  <sheetFormatPr defaultColWidth="8.88888888888889" defaultRowHeight="14.4" customHeight="1"/>
  <cols>
    <col min="1" max="1" width="17.4444444444444" style="1" customWidth="1"/>
    <col min="2" max="2" width="19.1111111111111" style="1" customWidth="1"/>
    <col min="3" max="3" width="27.8888888888889" style="1" customWidth="1"/>
    <col min="4" max="4" width="8.44444444444444" style="1" customWidth="1"/>
    <col min="5" max="5" width="9.88888888888889" style="1" customWidth="1"/>
    <col min="6" max="6" width="8.11111111111111" style="1" customWidth="1"/>
    <col min="7" max="7" width="11" style="1" customWidth="1"/>
    <col min="8" max="8" width="13.2222222222222" style="1" customWidth="1"/>
    <col min="9" max="9" width="7.25" style="1" customWidth="1"/>
    <col min="10" max="11" width="8.88888888888889" style="1" customWidth="1"/>
    <col min="12" max="12" width="12.8888888888889" style="1" customWidth="1"/>
    <col min="13" max="13" width="10.3333333333333" style="1" customWidth="1"/>
    <col min="14" max="18" width="8.88888888888889" style="1" customWidth="1"/>
    <col min="19" max="19" width="9.77777777777778" style="1" customWidth="1"/>
    <col min="20" max="16383" width="8.88888888888889" style="1" customWidth="1"/>
    <col min="16384" max="16384" width="8.88888888888889" style="1"/>
  </cols>
  <sheetData>
    <row r="2" s="1" customFormat="1" ht="15.6" customHeight="1" spans="1:22">
      <c r="B2" s="2" t="s">
        <v>0</v>
      </c>
      <c r="C2" s="2"/>
      <c r="D2" s="2"/>
      <c r="E2" s="2"/>
      <c r="F2" s="2"/>
      <c r="G2" s="2"/>
      <c r="H2" s="2"/>
      <c r="I2" s="2"/>
      <c r="J2" s="2"/>
      <c r="M2" s="3" t="s">
        <v>1</v>
      </c>
      <c r="N2" s="3" t="s">
        <v>2</v>
      </c>
      <c r="O2" s="3" t="s">
        <v>3</v>
      </c>
      <c r="P2" s="3" t="s">
        <v>4</v>
      </c>
      <c r="Q2" s="3" t="s">
        <v>5</v>
      </c>
      <c r="R2" s="3" t="s">
        <v>6</v>
      </c>
      <c r="S2" s="3" t="s">
        <v>7</v>
      </c>
      <c r="T2" s="3" t="s">
        <v>8</v>
      </c>
      <c r="U2" s="3" t="s">
        <v>9</v>
      </c>
      <c r="V2" s="3" t="s">
        <v>10</v>
      </c>
    </row>
    <row r="3" s="1" customFormat="1" ht="15.6" customHeight="1" spans="1:22">
      <c r="B3" s="4" t="s">
        <v>11</v>
      </c>
      <c r="C3" s="5" t="s">
        <v>12</v>
      </c>
      <c r="D3" s="6" t="s">
        <v>13</v>
      </c>
      <c r="E3" s="7" t="s">
        <v>14</v>
      </c>
      <c r="F3" s="8" t="s">
        <v>5</v>
      </c>
      <c r="G3" s="9" t="s">
        <v>6</v>
      </c>
      <c r="H3" s="10" t="s">
        <v>7</v>
      </c>
      <c r="I3" s="11" t="s">
        <v>2</v>
      </c>
      <c r="J3" s="12" t="s">
        <v>15</v>
      </c>
      <c r="M3" s="13" t="s">
        <v>16</v>
      </c>
      <c r="N3" s="14">
        <v>406</v>
      </c>
      <c r="O3" s="15">
        <v>155</v>
      </c>
      <c r="P3" s="16">
        <v>2</v>
      </c>
      <c r="Q3" s="17">
        <v>34</v>
      </c>
      <c r="R3" s="18">
        <v>4</v>
      </c>
      <c r="S3" s="14">
        <v>211</v>
      </c>
      <c r="T3" s="19">
        <v>0.42</v>
      </c>
      <c r="U3" s="19">
        <v>0.42</v>
      </c>
      <c r="V3" s="20" t="s">
        <v>17</v>
      </c>
    </row>
    <row r="4" s="1" customFormat="1" ht="15.6" customHeight="1" spans="1:22">
      <c r="A4" s="21"/>
      <c r="B4" s="22" t="s">
        <v>18</v>
      </c>
      <c r="C4" s="23" t="s">
        <v>19</v>
      </c>
      <c r="D4" s="24"/>
      <c r="E4" s="24"/>
      <c r="F4" s="24"/>
      <c r="G4" s="24"/>
      <c r="H4" s="24"/>
      <c r="I4" s="25"/>
      <c r="J4" s="26" t="e">
        <f>D4/(I4-F4)</f>
        <v>#DIV/0!</v>
      </c>
      <c r="M4" s="13"/>
      <c r="N4" s="14"/>
      <c r="O4" s="27" t="s">
        <v>20</v>
      </c>
      <c r="P4" s="28" t="s">
        <v>21</v>
      </c>
      <c r="Q4" s="29" t="s">
        <v>22</v>
      </c>
      <c r="R4" s="30" t="s">
        <v>23</v>
      </c>
      <c r="S4" s="14"/>
      <c r="T4" s="31" t="s">
        <v>24</v>
      </c>
      <c r="U4" s="31" t="s">
        <v>25</v>
      </c>
      <c r="V4" s="20"/>
    </row>
    <row r="5" s="1" customFormat="1" ht="15.6" customHeight="1" spans="1:22">
      <c r="A5" s="21"/>
      <c r="B5" s="32"/>
      <c r="C5" s="23" t="s">
        <v>26</v>
      </c>
      <c r="D5" s="24"/>
      <c r="E5" s="24"/>
      <c r="F5" s="24"/>
      <c r="G5" s="24"/>
      <c r="H5" s="24"/>
      <c r="I5" s="25"/>
      <c r="J5" s="26" t="e">
        <f>D5/(I5-F5)</f>
        <v>#DIV/0!</v>
      </c>
      <c r="M5" s="13" t="s">
        <v>27</v>
      </c>
      <c r="N5" s="14">
        <v>429</v>
      </c>
      <c r="O5" s="15">
        <v>173</v>
      </c>
      <c r="P5" s="16">
        <v>2</v>
      </c>
      <c r="Q5" s="17">
        <v>21</v>
      </c>
      <c r="R5" s="18">
        <v>1</v>
      </c>
      <c r="S5" s="14">
        <v>232</v>
      </c>
      <c r="T5" s="19">
        <v>0.43</v>
      </c>
      <c r="U5" s="19">
        <v>0.42</v>
      </c>
      <c r="V5" s="20" t="s">
        <v>17</v>
      </c>
    </row>
    <row r="6" s="1" customFormat="1" ht="15.6" customHeight="1" spans="1:22">
      <c r="A6" s="21"/>
      <c r="B6" s="33" t="s">
        <v>28</v>
      </c>
      <c r="C6" s="34" t="s">
        <v>2</v>
      </c>
      <c r="D6" s="35">
        <f>SUM(D4:D5)</f>
        <v>0</v>
      </c>
      <c r="E6" s="36">
        <f>SUM(E4:E5)</f>
        <v>0</v>
      </c>
      <c r="F6" s="37">
        <f>SUM(F4:F5)</f>
        <v>0</v>
      </c>
      <c r="G6" s="38">
        <f>SUM(G4:G5)</f>
        <v>0</v>
      </c>
      <c r="H6" s="39">
        <f>SUM(H4:H5)</f>
        <v>0</v>
      </c>
      <c r="I6" s="40">
        <f>SUM(D6:H6)</f>
        <v>0</v>
      </c>
      <c r="J6" s="41" t="e">
        <f>D6/(I6-F6)</f>
        <v>#DIV/0!</v>
      </c>
      <c r="M6" s="13"/>
      <c r="N6" s="14"/>
      <c r="O6" s="27" t="s">
        <v>29</v>
      </c>
      <c r="P6" s="28" t="s">
        <v>23</v>
      </c>
      <c r="Q6" s="29" t="s">
        <v>22</v>
      </c>
      <c r="R6" s="31" t="s">
        <v>30</v>
      </c>
      <c r="S6" s="14"/>
      <c r="T6" s="31" t="s">
        <v>25</v>
      </c>
      <c r="U6" s="31" t="s">
        <v>25</v>
      </c>
      <c r="V6" s="20"/>
    </row>
    <row r="7" s="1" customFormat="1" ht="15.6" customHeight="1" spans="1:22">
      <c r="A7" s="21"/>
      <c r="D7" s="42" t="s">
        <v>31</v>
      </c>
      <c r="E7" s="42"/>
      <c r="F7" s="42"/>
      <c r="G7" s="43" t="e">
        <f>(D6+E6)/(I6-F6)</f>
        <v>#DIV/0!</v>
      </c>
      <c r="H7" s="43"/>
      <c r="I7" s="43"/>
      <c r="M7" s="13" t="s">
        <v>32</v>
      </c>
      <c r="N7" s="14">
        <v>416</v>
      </c>
      <c r="O7" s="15">
        <v>89</v>
      </c>
      <c r="P7" s="16">
        <v>2</v>
      </c>
      <c r="Q7" s="17">
        <v>25</v>
      </c>
      <c r="R7" s="18">
        <v>4</v>
      </c>
      <c r="S7" s="14">
        <v>296</v>
      </c>
      <c r="T7" s="19">
        <v>0.23</v>
      </c>
      <c r="U7" s="19">
        <v>0.23</v>
      </c>
      <c r="V7" s="20" t="s">
        <v>17</v>
      </c>
    </row>
    <row r="8" s="1" customFormat="1" ht="15.6" customHeight="1" spans="1:22">
      <c r="A8" s="21"/>
      <c r="D8" s="44" t="s">
        <v>33</v>
      </c>
      <c r="E8" s="44"/>
      <c r="F8" s="44"/>
      <c r="G8" s="43" t="e">
        <f>D6/(I6-F6)</f>
        <v>#DIV/0!</v>
      </c>
      <c r="H8" s="43"/>
      <c r="I8" s="43"/>
      <c r="M8" s="13"/>
      <c r="N8" s="14"/>
      <c r="O8" s="27" t="s">
        <v>34</v>
      </c>
      <c r="P8" s="28" t="s">
        <v>35</v>
      </c>
      <c r="Q8" s="29" t="s">
        <v>22</v>
      </c>
      <c r="R8" s="30" t="s">
        <v>36</v>
      </c>
      <c r="S8" s="14"/>
      <c r="T8" s="31" t="s">
        <v>37</v>
      </c>
      <c r="U8" s="31" t="s">
        <v>38</v>
      </c>
      <c r="V8" s="20"/>
    </row>
    <row r="9" s="1" customFormat="1" ht="15.6" customHeight="1" spans="1:22">
      <c r="A9" s="21"/>
    </row>
    <row r="10" s="1" customFormat="1" ht="15.6" customHeight="1" spans="1:22">
      <c r="A10" s="21"/>
      <c r="B10" s="1"/>
      <c r="C10" s="1"/>
      <c r="D10" s="1"/>
      <c r="E10" s="1"/>
      <c r="F10" s="1"/>
      <c r="G10" s="1"/>
      <c r="H10" s="1"/>
      <c r="I10" s="1"/>
      <c r="J10" s="1"/>
      <c r="M10" s="45"/>
    </row>
    <row r="11" s="1" customFormat="1" ht="15.6" customHeight="1" spans="1:22">
      <c r="A11" s="21"/>
      <c r="B11" s="2" t="s">
        <v>39</v>
      </c>
      <c r="C11" s="2"/>
      <c r="D11" s="2"/>
      <c r="E11" s="2"/>
      <c r="F11" s="2"/>
      <c r="G11" s="2"/>
      <c r="H11" s="2"/>
      <c r="I11" s="2"/>
      <c r="J11" s="2"/>
    </row>
    <row r="12" s="1" customFormat="1" ht="15.6" customHeight="1" spans="1:22">
      <c r="A12" s="21"/>
      <c r="B12" s="4" t="s">
        <v>11</v>
      </c>
      <c r="C12" s="5" t="s">
        <v>12</v>
      </c>
      <c r="D12" s="6" t="s">
        <v>13</v>
      </c>
      <c r="E12" s="7" t="s">
        <v>14</v>
      </c>
      <c r="F12" s="8" t="s">
        <v>5</v>
      </c>
      <c r="G12" s="9" t="s">
        <v>6</v>
      </c>
      <c r="H12" s="10" t="s">
        <v>7</v>
      </c>
      <c r="I12" s="11" t="s">
        <v>2</v>
      </c>
      <c r="J12" s="12" t="s">
        <v>15</v>
      </c>
    </row>
    <row r="13" s="1" customFormat="1" ht="15.6" customHeight="1" spans="1:22">
      <c r="A13" s="21"/>
      <c r="B13" s="34" t="s">
        <v>40</v>
      </c>
      <c r="C13" s="23" t="s">
        <v>19</v>
      </c>
      <c r="D13" s="24"/>
      <c r="E13" s="24"/>
      <c r="F13" s="24"/>
      <c r="G13" s="24"/>
      <c r="H13" s="24"/>
      <c r="I13" s="25"/>
      <c r="J13" s="26" t="e">
        <f>D13/(I13-F13)</f>
        <v>#DIV/0!</v>
      </c>
    </row>
    <row r="14" s="1" customFormat="1" ht="15.6" customHeight="1" spans="1:22">
      <c r="B14" s="22" t="s">
        <v>41</v>
      </c>
      <c r="C14" s="23" t="s">
        <v>26</v>
      </c>
      <c r="D14" s="24"/>
      <c r="E14" s="24"/>
      <c r="F14" s="24"/>
      <c r="G14" s="24"/>
      <c r="H14" s="24"/>
      <c r="I14" s="25"/>
      <c r="J14" s="26" t="e">
        <f>D14/(I14-F14)</f>
        <v>#DIV/0!</v>
      </c>
    </row>
    <row r="15" s="1" customFormat="1" ht="15.6" customHeight="1" spans="1:22">
      <c r="B15" s="46" t="s">
        <v>28</v>
      </c>
      <c r="C15" s="34" t="s">
        <v>2</v>
      </c>
      <c r="D15" s="35">
        <f>SUM(D13:D14)</f>
        <v>0</v>
      </c>
      <c r="E15" s="36">
        <f>SUM(E13:E14)</f>
        <v>0</v>
      </c>
      <c r="F15" s="37">
        <f>SUM(F13:F14)</f>
        <v>0</v>
      </c>
      <c r="G15" s="38">
        <f>SUM(G13:G14)</f>
        <v>0</v>
      </c>
      <c r="H15" s="39">
        <f>SUM(H13:H14)</f>
        <v>0</v>
      </c>
      <c r="I15" s="40">
        <f>SUM(D15:H15)</f>
        <v>0</v>
      </c>
      <c r="J15" s="41" t="e">
        <f>D15/(I15-F15)</f>
        <v>#DIV/0!</v>
      </c>
    </row>
    <row r="16" s="1" customFormat="1" ht="15.6" customHeight="1" spans="1:22">
      <c r="D16" s="42" t="s">
        <v>31</v>
      </c>
      <c r="E16" s="42"/>
      <c r="F16" s="42"/>
      <c r="G16" s="43" t="e">
        <f>(D15+E15)/(I15-F15)</f>
        <v>#DIV/0!</v>
      </c>
      <c r="H16" s="43"/>
      <c r="I16" s="43"/>
    </row>
    <row r="17" customHeight="1" spans="2:10">
      <c r="D17" s="44" t="s">
        <v>33</v>
      </c>
      <c r="E17" s="44"/>
      <c r="F17" s="44"/>
      <c r="G17" s="43" t="e">
        <f>D15/(I15-F15)</f>
        <v>#DIV/0!</v>
      </c>
      <c r="H17" s="43"/>
      <c r="I17" s="43"/>
    </row>
    <row r="19" s="1" customFormat="1" ht="15.6" customHeight="1" spans="2:10">
      <c r="B19" s="2" t="s">
        <v>42</v>
      </c>
      <c r="C19" s="2"/>
      <c r="D19" s="2"/>
      <c r="E19" s="2"/>
      <c r="F19" s="2"/>
      <c r="G19" s="2"/>
      <c r="H19" s="2"/>
      <c r="I19" s="2"/>
      <c r="J19" s="2"/>
    </row>
    <row r="20" s="1" customFormat="1" ht="18" customHeight="1" spans="2:10">
      <c r="B20" s="4" t="s">
        <v>11</v>
      </c>
      <c r="C20" s="5" t="s">
        <v>12</v>
      </c>
      <c r="D20" s="6" t="s">
        <v>13</v>
      </c>
      <c r="E20" s="7" t="s">
        <v>14</v>
      </c>
      <c r="F20" s="8" t="s">
        <v>5</v>
      </c>
      <c r="G20" s="9" t="s">
        <v>6</v>
      </c>
      <c r="H20" s="10" t="s">
        <v>7</v>
      </c>
      <c r="I20" s="11" t="s">
        <v>2</v>
      </c>
      <c r="J20" s="12" t="s">
        <v>15</v>
      </c>
    </row>
    <row r="21" s="1" customFormat="1" ht="15.6" customHeight="1" spans="2:10">
      <c r="B21" s="22" t="s">
        <v>43</v>
      </c>
      <c r="C21" s="23" t="s">
        <v>19</v>
      </c>
      <c r="D21" s="24"/>
      <c r="E21" s="24"/>
      <c r="F21" s="24"/>
      <c r="G21" s="24"/>
      <c r="H21" s="24"/>
      <c r="I21" s="25"/>
      <c r="J21" s="26" t="e">
        <f>D21/(I21-F21)</f>
        <v>#DIV/0!</v>
      </c>
    </row>
    <row r="22" s="1" customFormat="1" ht="15.6" customHeight="1" spans="2:10">
      <c r="B22" s="22" t="s">
        <v>44</v>
      </c>
      <c r="C22" s="23" t="s">
        <v>26</v>
      </c>
      <c r="D22" s="24"/>
      <c r="E22" s="24"/>
      <c r="F22" s="24"/>
      <c r="G22" s="24"/>
      <c r="H22" s="24"/>
      <c r="I22" s="25"/>
      <c r="J22" s="41" t="e">
        <f>D22/(I22-F22)</f>
        <v>#DIV/0!</v>
      </c>
    </row>
    <row r="23" s="1" customFormat="1" ht="15.6" customHeight="1" spans="2:10">
      <c r="B23" s="46" t="s">
        <v>28</v>
      </c>
      <c r="C23" s="34" t="s">
        <v>2</v>
      </c>
      <c r="D23" s="35">
        <f>SUM(D21:D22)</f>
        <v>0</v>
      </c>
      <c r="E23" s="36">
        <f>SUM(E21:E22)</f>
        <v>0</v>
      </c>
      <c r="F23" s="37">
        <f>SUM(F21:F22)</f>
        <v>0</v>
      </c>
      <c r="G23" s="38">
        <f>SUM(G21:G22)</f>
        <v>0</v>
      </c>
      <c r="H23" s="39">
        <f>SUM(H21:H22)</f>
        <v>0</v>
      </c>
      <c r="I23" s="40">
        <f>SUM(D23:H23)</f>
        <v>0</v>
      </c>
      <c r="J23" s="41" t="e">
        <f>D23/(I23-F23)</f>
        <v>#DIV/0!</v>
      </c>
    </row>
    <row r="24" s="1" customFormat="1" ht="15.6" customHeight="1" spans="2:10">
      <c r="D24" s="42" t="s">
        <v>31</v>
      </c>
      <c r="E24" s="42"/>
      <c r="F24" s="42"/>
      <c r="G24" s="43" t="e">
        <f>(D23+E23)/(I23-F23)</f>
        <v>#DIV/0!</v>
      </c>
      <c r="H24" s="43"/>
      <c r="I24" s="43"/>
    </row>
    <row r="25" s="1" customFormat="1" ht="15.6" customHeight="1" spans="2:10">
      <c r="D25" s="44" t="s">
        <v>33</v>
      </c>
      <c r="E25" s="44"/>
      <c r="F25" s="44"/>
      <c r="G25" s="43" t="e">
        <f>D23/(I23-F23)</f>
        <v>#DIV/0!</v>
      </c>
      <c r="H25" s="43"/>
      <c r="I25" s="43"/>
    </row>
    <row r="26" s="1" customFormat="1" ht="15.6" customHeight="1" spans="2:10">
      <c r="D26" s="47"/>
      <c r="E26" s="47"/>
      <c r="F26" s="47"/>
      <c r="G26" s="48"/>
      <c r="H26" s="48"/>
      <c r="I26" s="48"/>
    </row>
    <row r="27" s="1" customFormat="1" ht="15.6" customHeight="1" spans="2:10">
      <c r="B27" s="49"/>
      <c r="C27" s="50" t="s">
        <v>45</v>
      </c>
      <c r="D27" s="50"/>
      <c r="E27" s="50"/>
      <c r="F27" s="50"/>
      <c r="G27" s="50"/>
      <c r="H27" s="50"/>
    </row>
    <row r="28" s="1" customFormat="1" ht="15.6" customHeight="1" spans="2:10">
      <c r="C28" s="51" t="s">
        <v>46</v>
      </c>
      <c r="D28" s="44" t="s">
        <v>47</v>
      </c>
      <c r="E28" s="52" t="s">
        <v>48</v>
      </c>
      <c r="F28" s="53" t="s">
        <v>49</v>
      </c>
      <c r="G28" s="54" t="s">
        <v>50</v>
      </c>
      <c r="H28" s="55" t="s">
        <v>2</v>
      </c>
    </row>
    <row r="29" s="1" customFormat="1" ht="15.6" customHeight="1" spans="2:10">
      <c r="C29" s="51" t="s">
        <v>2</v>
      </c>
      <c r="D29" s="56" t="e">
        <f>SUM(#REF!)</f>
        <v>#REF!</v>
      </c>
      <c r="E29" s="56" t="e">
        <f>SUM(#REF!)</f>
        <v>#REF!</v>
      </c>
      <c r="F29" s="34" t="e">
        <f>SUM(#REF!)</f>
        <v>#REF!</v>
      </c>
      <c r="G29" s="34" t="e">
        <f>SUM(#REF!)</f>
        <v>#REF!</v>
      </c>
      <c r="H29" s="57" t="e">
        <f>SUM(D29:G29)</f>
        <v>#REF!</v>
      </c>
    </row>
    <row r="30" s="1" customFormat="1" ht="15.6" customHeight="1" spans="2:10">
      <c r="C30" s="58"/>
      <c r="D30" s="59" t="s">
        <v>51</v>
      </c>
      <c r="E30" s="59"/>
      <c r="F30" s="60" t="e">
        <f>D29/(H29-E29)</f>
        <v>#REF!</v>
      </c>
      <c r="G30" s="60"/>
      <c r="H30" s="61"/>
    </row>
    <row r="31" s="1" customFormat="1" ht="15.6" customHeight="1" spans="2:10">
      <c r="C31" s="62"/>
      <c r="D31" s="63" t="s">
        <v>52</v>
      </c>
      <c r="E31" s="63"/>
      <c r="F31" s="60" t="e">
        <f>(D29+F29)/(H29-E29)</f>
        <v>#REF!</v>
      </c>
      <c r="G31" s="60"/>
    </row>
    <row r="32" s="1" customFormat="1" ht="15.6" customHeight="1" spans="2:10">
      <c r="C32" s="62"/>
      <c r="D32" s="64"/>
      <c r="E32" s="64"/>
      <c r="F32" s="65"/>
      <c r="G32" s="66"/>
    </row>
    <row r="33" s="1" customFormat="1" ht="15.6" customHeight="1" spans="2:8">
      <c r="C33" s="50" t="s">
        <v>53</v>
      </c>
      <c r="D33" s="50"/>
      <c r="E33" s="50"/>
      <c r="F33" s="50"/>
      <c r="G33" s="50"/>
      <c r="H33" s="50"/>
    </row>
    <row r="34" customHeight="1" spans="2:8">
      <c r="C34" s="51" t="s">
        <v>46</v>
      </c>
      <c r="D34" s="44" t="s">
        <v>47</v>
      </c>
      <c r="E34" s="52" t="s">
        <v>48</v>
      </c>
      <c r="F34" s="53" t="s">
        <v>49</v>
      </c>
      <c r="G34" s="54" t="s">
        <v>50</v>
      </c>
      <c r="H34" s="55" t="s">
        <v>2</v>
      </c>
    </row>
    <row r="35" s="1" customFormat="1" ht="15.6" customHeight="1" spans="2:8">
      <c r="B35" s="62"/>
      <c r="C35" s="51" t="s">
        <v>2</v>
      </c>
      <c r="D35" s="67" t="e">
        <f>SUM(#REF!)</f>
        <v>#REF!</v>
      </c>
      <c r="E35" s="67" t="e">
        <f>SUM(#REF!)</f>
        <v>#REF!</v>
      </c>
      <c r="F35" s="68" t="e">
        <f>SUM(#REF!)</f>
        <v>#REF!</v>
      </c>
      <c r="G35" s="68" t="e">
        <f>SUM(#REF!)</f>
        <v>#REF!</v>
      </c>
      <c r="H35" s="69" t="e">
        <f>SUM(D35:G35)</f>
        <v>#REF!</v>
      </c>
    </row>
    <row r="36" s="1" customFormat="1" ht="15.6" customHeight="1" spans="2:8">
      <c r="B36" s="62"/>
      <c r="C36" s="62"/>
      <c r="D36" s="59" t="s">
        <v>51</v>
      </c>
      <c r="E36" s="59"/>
      <c r="F36" s="60" t="e">
        <f>D35/(H35-E35)</f>
        <v>#REF!</v>
      </c>
      <c r="G36" s="60"/>
      <c r="H36" s="70"/>
    </row>
    <row r="37" s="1" customFormat="1" ht="15.6" customHeight="1" spans="2:8">
      <c r="B37" s="49"/>
      <c r="C37" s="62"/>
      <c r="D37" s="63" t="s">
        <v>52</v>
      </c>
      <c r="E37" s="63"/>
      <c r="F37" s="60" t="e">
        <f>(D35+F35)/(H35-E35)</f>
        <v>#REF!</v>
      </c>
      <c r="G37" s="60"/>
      <c r="H37" s="70"/>
    </row>
    <row r="38" s="1" customFormat="1" ht="15.6" customHeight="1" spans="2:8">
      <c r="B38" s="47"/>
    </row>
    <row r="39" s="1" customFormat="1" ht="15.6" customHeight="1" spans="2:8">
      <c r="B39" s="47"/>
      <c r="C39" s="50" t="s">
        <v>54</v>
      </c>
      <c r="D39" s="50"/>
      <c r="E39" s="50"/>
      <c r="F39" s="50"/>
      <c r="G39" s="50"/>
      <c r="H39" s="50"/>
    </row>
    <row r="40" s="1" customFormat="1" ht="15.6" customHeight="1" spans="2:8">
      <c r="B40" s="47"/>
      <c r="C40" s="51" t="s">
        <v>46</v>
      </c>
      <c r="D40" s="44" t="s">
        <v>47</v>
      </c>
      <c r="E40" s="52" t="s">
        <v>48</v>
      </c>
      <c r="F40" s="53" t="s">
        <v>49</v>
      </c>
      <c r="G40" s="54" t="s">
        <v>50</v>
      </c>
      <c r="H40" s="55" t="s">
        <v>2</v>
      </c>
    </row>
    <row r="41" s="1" customFormat="1" ht="15.6" customHeight="1" spans="2:8">
      <c r="B41" s="47"/>
      <c r="C41" s="51" t="s">
        <v>2</v>
      </c>
      <c r="D41" s="56" t="e">
        <f>SUM(#REF!)</f>
        <v>#REF!</v>
      </c>
      <c r="E41" s="56" t="e">
        <f>SUM(#REF!)</f>
        <v>#REF!</v>
      </c>
      <c r="F41" s="34" t="e">
        <f>SUM(#REF!)</f>
        <v>#REF!</v>
      </c>
      <c r="G41" s="34" t="e">
        <f>SUM(#REF!)</f>
        <v>#REF!</v>
      </c>
      <c r="H41" s="57" t="e">
        <f>SUM(D41:G41)</f>
        <v>#REF!</v>
      </c>
    </row>
    <row r="42" s="1" customFormat="1" ht="15.6" customHeight="1" spans="2:8">
      <c r="B42" s="47"/>
      <c r="C42" s="58"/>
      <c r="D42" s="59" t="s">
        <v>51</v>
      </c>
      <c r="E42" s="59"/>
      <c r="F42" s="60" t="e">
        <f>D41/(H41-E41)</f>
        <v>#REF!</v>
      </c>
      <c r="G42" s="60"/>
      <c r="H42" s="61"/>
    </row>
    <row r="43" s="1" customFormat="1" ht="15.6" customHeight="1" spans="2:8">
      <c r="B43" s="47"/>
      <c r="C43" s="62"/>
      <c r="D43" s="63" t="s">
        <v>52</v>
      </c>
      <c r="E43" s="63"/>
      <c r="F43" s="60" t="e">
        <f>(D41+F41)/(H41-E41)</f>
        <v>#REF!</v>
      </c>
      <c r="G43" s="60"/>
    </row>
    <row r="44" s="1" customFormat="1" ht="15.6" customHeight="1" spans="2:8">
      <c r="B44" s="47"/>
    </row>
    <row r="45" s="1" customFormat="1" ht="15.6" customHeight="1" spans="2:8">
      <c r="B45" s="47"/>
    </row>
    <row r="46" s="1" customFormat="1" ht="15.6" customHeight="1"/>
    <row r="47" s="1" customFormat="1" ht="15.6" customHeight="1"/>
    <row r="48" s="1" customFormat="1" ht="15.6" customHeight="1"/>
    <row r="49" s="1" customFormat="1" ht="15.6" customHeight="1"/>
    <row r="50" s="1" customFormat="1" ht="15.6" customHeight="1"/>
    <row r="51" s="1" customFormat="1" ht="15.6" customHeight="1" spans="1:1">
      <c r="A51" s="1">
        <v>164</v>
      </c>
    </row>
    <row r="52" s="1" customFormat="1" ht="15.6" customHeight="1"/>
    <row r="53" s="1" customFormat="1" ht="15.6" customHeight="1"/>
    <row r="54" s="1" customFormat="1" ht="15.6" customHeight="1"/>
    <row r="55" s="1" customFormat="1" ht="15.6" customHeight="1"/>
    <row r="56" s="1" customFormat="1" ht="15.6" customHeight="1"/>
    <row r="57" s="1" customFormat="1" ht="15.6" customHeight="1"/>
    <row r="58" s="1" customFormat="1" ht="15.6" customHeight="1"/>
    <row r="59" s="1" customFormat="1" ht="15.6" customHeight="1"/>
    <row r="60" s="1" customFormat="1" ht="15.6" customHeight="1"/>
    <row r="61" s="1" customFormat="1" ht="15.6" customHeight="1"/>
    <row r="62" s="1" customFormat="1" ht="15.6" customHeight="1"/>
    <row r="63" s="1" customFormat="1" ht="15.6" customHeight="1"/>
    <row r="64" s="1" customFormat="1" ht="15.6" customHeight="1"/>
    <row r="65" s="1" customFormat="1" ht="15.6" customHeight="1"/>
    <row r="66" s="1" customFormat="1" ht="15.6" customHeight="1"/>
    <row r="67" s="1" customFormat="1" ht="15.6" customHeight="1"/>
    <row r="68" s="1" customFormat="1" ht="15.6" customHeight="1"/>
    <row r="69" s="1" customFormat="1" ht="15.6" customHeight="1"/>
    <row r="71" s="1" customFormat="1" ht="15.6" customHeight="1"/>
    <row r="72" s="1" customFormat="1" ht="15.6" customHeight="1"/>
    <row r="73" s="1" customFormat="1" ht="15.6" customHeight="1"/>
    <row r="74" s="1" customFormat="1" ht="15.6" customHeight="1"/>
    <row r="75" s="1" customFormat="1" ht="15.6" customHeight="1"/>
    <row r="76" s="1" customFormat="1" ht="15.6" customHeight="1"/>
    <row r="77" s="1" customFormat="1" ht="16" customHeight="1"/>
    <row r="78" s="1" customFormat="1" ht="15.6" customHeight="1"/>
  </sheetData>
  <mergeCells count="43">
    <mergeCell ref="B2:J2"/>
    <mergeCell ref="D7:F7"/>
    <mergeCell ref="G7:I7"/>
    <mergeCell ref="D8:F8"/>
    <mergeCell ref="G8:I8"/>
    <mergeCell ref="B11:J11"/>
    <mergeCell ref="D16:F16"/>
    <mergeCell ref="G16:I16"/>
    <mergeCell ref="D17:F17"/>
    <mergeCell ref="G17:I17"/>
    <mergeCell ref="B19:J19"/>
    <mergeCell ref="D24:F24"/>
    <mergeCell ref="G24:I24"/>
    <mergeCell ref="D25:F25"/>
    <mergeCell ref="G25:I25"/>
    <mergeCell ref="C27:H27"/>
    <mergeCell ref="D30:E30"/>
    <mergeCell ref="F30:G30"/>
    <mergeCell ref="D31:E31"/>
    <mergeCell ref="F31:G31"/>
    <mergeCell ref="C33:H33"/>
    <mergeCell ref="D36:E36"/>
    <mergeCell ref="F36:G36"/>
    <mergeCell ref="D37:E37"/>
    <mergeCell ref="F37:G37"/>
    <mergeCell ref="C39:H39"/>
    <mergeCell ref="D42:E42"/>
    <mergeCell ref="F42:G42"/>
    <mergeCell ref="D43:E43"/>
    <mergeCell ref="F43:G43"/>
    <mergeCell ref="B4:B5"/>
    <mergeCell ref="M3:M4"/>
    <mergeCell ref="M5:M6"/>
    <mergeCell ref="M7:M8"/>
    <mergeCell ref="N3:N4"/>
    <mergeCell ref="N5:N6"/>
    <mergeCell ref="N7:N8"/>
    <mergeCell ref="S3:S4"/>
    <mergeCell ref="S5:S6"/>
    <mergeCell ref="S7:S8"/>
    <mergeCell ref="V3:V4"/>
    <mergeCell ref="V5:V6"/>
    <mergeCell ref="V7:V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sanjay.k</dc:creator>
  <cp:lastModifiedBy>WPS_1774380132</cp:lastModifiedBy>
  <dcterms:created xsi:type="dcterms:W3CDTF">2026-09-29T14:32:00Z</dcterms:created>
  <dcterms:modified xsi:type="dcterms:W3CDTF">2026-09-30T16:58:16Z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F5911E72EC3C437285F8B28F6D4C9C28_11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