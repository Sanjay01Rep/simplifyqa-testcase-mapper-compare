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<sst xmlns="http://schemas.openxmlformats.org/spreadsheetml/2006/main" count="57" uniqueCount="27">
  <si>
    <t>Sprint 3 – General Kenya | Module-wise Daily Status</t>
  </si>
  <si>
    <t>Lead Champion</t>
  </si>
  <si>
    <t>MODULE</t>
  </si>
  <si>
    <t xml:space="preserve">Passed </t>
  </si>
  <si>
    <t xml:space="preserve">Failed </t>
  </si>
  <si>
    <t>Blocked</t>
  </si>
  <si>
    <t>In Progress</t>
  </si>
  <si>
    <t>Not Executed</t>
  </si>
  <si>
    <t>Total</t>
  </si>
  <si>
    <t>Pass Rate</t>
  </si>
  <si>
    <t>Kasive</t>
  </si>
  <si>
    <t>Budgeting</t>
  </si>
  <si>
    <t>Paul Kamau</t>
  </si>
  <si>
    <t>Reinsurance</t>
  </si>
  <si>
    <t xml:space="preserve">Execution Rate </t>
  </si>
  <si>
    <t>Overall Pass Rate</t>
  </si>
  <si>
    <t>Sprint 3 – Life Kenya| Module-wise Daily Status Report</t>
  </si>
  <si>
    <t>Benson Nzimi</t>
  </si>
  <si>
    <t xml:space="preserve"> General Kenya Defect Summary</t>
  </si>
  <si>
    <t xml:space="preserve"> Module</t>
  </si>
  <si>
    <t xml:space="preserve">Closed </t>
  </si>
  <si>
    <t>Deferred</t>
  </si>
  <si>
    <t>Fixed</t>
  </si>
  <si>
    <t>Pending</t>
  </si>
  <si>
    <t>Closure Rate</t>
  </si>
  <si>
    <t>Resolution Rate</t>
  </si>
  <si>
    <t xml:space="preserve"> Life Kenya Sprint 1 Defect Summary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</si>
</sst>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2"/>
      <color rgb="FFFF0000"/>
      <name val="Calibri"/>
      <charset val="134"/>
    </font>
    <font>
      <b/>
      <sz val="12"/>
      <color theme="1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rgb="FF000000"/>
      <name val="Aptos Narrow"/>
      <charset val="0"/>
    </font>
    <font>
      <b/>
      <sz val="11"/>
      <color rgb="FF000000"/>
      <name val="Calibri"/>
      <charset val="0"/>
    </font>
    <font>
      <b/>
      <sz val="12"/>
      <color rgb="FF000000"/>
      <name val="Calibri"/>
      <charset val="0"/>
    </font>
    <font>
      <b/>
      <sz val="12"/>
      <color rgb="FF000000"/>
      <name val="Aptos"/>
      <charset val="0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0"/>
      <scheme val="minor"/>
    </font>
    <font>
      <b/>
      <sz val="11"/>
      <color rgb="FF000000"/>
      <name val="Calibri"/>
      <charset val="0"/>
      <scheme val="minor"/>
    </font>
    <font>
      <b/>
      <sz val="12"/>
      <color rgb="FF00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ADADAD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20" borderId="9" applyNumberFormat="0" applyAlignment="0" applyProtection="0">
      <alignment vertical="center"/>
    </xf>
    <xf numFmtId="0" fontId="26" fillId="21" borderId="10" applyNumberFormat="0" applyAlignment="0" applyProtection="0">
      <alignment vertical="center"/>
    </xf>
    <xf numFmtId="0" fontId="27" fillId="21" borderId="9" applyNumberFormat="0" applyAlignment="0" applyProtection="0">
      <alignment vertical="center"/>
    </xf>
    <xf numFmtId="0" fontId="28" fillId="22" borderId="11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 readingOrder="1"/>
    </xf>
    <xf numFmtId="0" fontId="2" fillId="6" borderId="2" xfId="0" applyFont="1" applyFill="1" applyBorder="1" applyAlignment="1">
      <alignment horizontal="center" vertical="center" wrapText="1" readingOrder="1"/>
    </xf>
    <xf numFmtId="0" fontId="2" fillId="7" borderId="2" xfId="0" applyFont="1" applyFill="1" applyBorder="1" applyAlignment="1">
      <alignment horizontal="center" vertical="center" wrapText="1" readingOrder="1"/>
    </xf>
    <xf numFmtId="0" fontId="2" fillId="8" borderId="2" xfId="0" applyFont="1" applyFill="1" applyBorder="1" applyAlignment="1">
      <alignment horizontal="center" vertical="center" wrapText="1" readingOrder="1"/>
    </xf>
    <xf numFmtId="0" fontId="2" fillId="9" borderId="2" xfId="0" applyFont="1" applyFill="1" applyBorder="1" applyAlignment="1">
      <alignment horizontal="center" vertical="center" wrapText="1" readingOrder="1"/>
    </xf>
    <xf numFmtId="0" fontId="2" fillId="10" borderId="2" xfId="0" applyFont="1" applyFill="1" applyBorder="1" applyAlignment="1">
      <alignment horizontal="center" vertical="center" wrapText="1" readingOrder="1"/>
    </xf>
    <xf numFmtId="0" fontId="3" fillId="11" borderId="2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9" fontId="3" fillId="11" borderId="3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vertical="center"/>
    </xf>
    <xf numFmtId="0" fontId="2" fillId="5" borderId="3" xfId="0" applyFont="1" applyFill="1" applyBorder="1" applyAlignment="1">
      <alignment horizontal="center" vertical="center" wrapText="1" readingOrder="1"/>
    </xf>
    <xf numFmtId="0" fontId="2" fillId="6" borderId="3" xfId="0" applyFont="1" applyFill="1" applyBorder="1" applyAlignment="1">
      <alignment horizontal="center" vertical="center" wrapText="1" readingOrder="1"/>
    </xf>
    <xf numFmtId="0" fontId="2" fillId="7" borderId="3" xfId="0" applyFont="1" applyFill="1" applyBorder="1" applyAlignment="1">
      <alignment horizontal="center" vertical="center" wrapText="1" readingOrder="1"/>
    </xf>
    <xf numFmtId="0" fontId="2" fillId="8" borderId="3" xfId="0" applyFont="1" applyFill="1" applyBorder="1" applyAlignment="1">
      <alignment horizontal="center" vertical="center" wrapText="1" readingOrder="1"/>
    </xf>
    <xf numFmtId="0" fontId="2" fillId="9" borderId="3" xfId="0" applyFont="1" applyFill="1" applyBorder="1" applyAlignment="1">
      <alignment horizontal="center" vertical="center" wrapText="1" readingOrder="1"/>
    </xf>
    <xf numFmtId="0" fontId="7" fillId="13" borderId="3" xfId="0" applyNumberFormat="1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9" fontId="3" fillId="0" borderId="3" xfId="3" applyNumberFormat="1" applyFont="1" applyBorder="1" applyAlignment="1">
      <alignment horizontal="center" vertical="center"/>
    </xf>
    <xf numFmtId="0" fontId="2" fillId="15" borderId="3" xfId="0" applyFont="1" applyFill="1" applyBorder="1" applyAlignment="1">
      <alignment horizontal="center" vertical="center"/>
    </xf>
    <xf numFmtId="9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16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7" fillId="17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10" fillId="0" borderId="3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10" fillId="0" borderId="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readingOrder="1"/>
    </xf>
    <xf numFmtId="0" fontId="11" fillId="0" borderId="3" xfId="0" applyFont="1" applyFill="1" applyBorder="1" applyAlignment="1">
      <alignment horizontal="center" vertical="center"/>
    </xf>
    <xf numFmtId="0" fontId="6" fillId="0" borderId="3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 readingOrder="1"/>
    </xf>
    <xf numFmtId="0" fontId="11" fillId="15" borderId="3" xfId="0" applyFont="1" applyFill="1" applyBorder="1" applyAlignment="1">
      <alignment horizontal="center" vertical="center" readingOrder="1"/>
    </xf>
    <xf numFmtId="9" fontId="11" fillId="0" borderId="3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0" fillId="18" borderId="3" xfId="0" applyFont="1" applyFill="1" applyBorder="1" applyAlignment="1">
      <alignment horizontal="center" vertical="center" readingOrder="1"/>
    </xf>
    <xf numFmtId="0" fontId="11" fillId="18" borderId="3" xfId="0" applyFont="1" applyFill="1" applyBorder="1" applyAlignment="1">
      <alignment horizontal="center" vertical="center" readingOrder="1"/>
    </xf>
    <xf numFmtId="9" fontId="11" fillId="0" borderId="4" xfId="0" applyNumberFormat="1" applyFont="1" applyFill="1" applyBorder="1" applyAlignment="1">
      <alignment horizontal="center" vertical="center"/>
    </xf>
    <xf numFmtId="9" fontId="11" fillId="0" borderId="5" xfId="0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 readingOrder="1"/>
    </xf>
    <xf numFmtId="0" fontId="11" fillId="0" borderId="4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 readingOrder="1"/>
    </xf>
    <xf numFmtId="0" fontId="16" fillId="0" borderId="3" xfId="0" applyNumberFormat="1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6" fillId="0" borderId="0" xfId="0" applyNumberFormat="1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tabSelected="1" workbookViewId="0">
      <selection activeCell="M10" sqref="M10"/>
    </sheetView>
  </sheetViews>
  <sheetFormatPr defaultColWidth="8.88888888888889" defaultRowHeight="14.4"/>
  <cols>
    <col min="1" max="1" width="17.4444444444444" style="1" customWidth="1"/>
    <col min="2" max="2" width="16.8888888888889" style="1" customWidth="1"/>
    <col min="3" max="3" width="22.1111111111111" style="1" customWidth="1"/>
    <col min="4" max="4" width="8.44444444444444" style="1" customWidth="1"/>
    <col min="5" max="5" width="9.88888888888889" style="1" customWidth="1"/>
    <col min="6" max="6" width="8.11111111111111" style="1" customWidth="1"/>
    <col min="7" max="7" width="11" style="1" customWidth="1"/>
    <col min="8" max="8" width="13.2222222222222" style="1" customWidth="1"/>
    <col min="9" max="9" width="7.25" style="1" customWidth="1"/>
    <col min="10" max="10" width="8.88888888888889" style="1" customWidth="1"/>
    <col min="11" max="11" width="8.88888888888889" style="1"/>
    <col min="12" max="12" width="12.8888888888889" style="1"/>
    <col min="13" max="13" width="27.8888888888889" style="1" customWidth="1"/>
    <col min="14" max="16384" width="8.88888888888889" style="1"/>
  </cols>
  <sheetData>
    <row r="1" s="1" customFormat="1" customHeight="1"/>
    <row r="2" s="1" customFormat="1" ht="15.6" customHeight="1" spans="1:10">
      <c r="B2" s="2" t="s">
        <v>0</v>
      </c>
      <c r="C2" s="3"/>
      <c r="D2" s="3"/>
      <c r="E2" s="3"/>
      <c r="F2" s="3"/>
      <c r="G2" s="3"/>
      <c r="H2" s="3"/>
      <c r="I2" s="3"/>
      <c r="J2" s="3"/>
    </row>
    <row r="3" s="1" customFormat="1" ht="15.6" customHeight="1" spans="1:10">
      <c r="B3" s="4" t="s">
        <v>1</v>
      </c>
      <c r="C3" s="5" t="s">
        <v>2</v>
      </c>
      <c r="D3" s="6" t="s">
        <v>3</v>
      </c>
      <c r="E3" s="7" t="s">
        <v>4</v>
      </c>
      <c r="F3" s="8" t="s">
        <v>5</v>
      </c>
      <c r="G3" s="9" t="s">
        <v>6</v>
      </c>
      <c r="H3" s="10" t="s">
        <v>7</v>
      </c>
      <c r="I3" s="11" t="s">
        <v>8</v>
      </c>
      <c r="J3" s="12" t="s">
        <v>9</v>
      </c>
    </row>
    <row r="4" s="1" customFormat="1" ht="15.6" customHeight="1" spans="1:10">
      <c r="A4" s="13"/>
      <c r="B4" s="14" t="s">
        <v>10</v>
      </c>
      <c r="C4" s="15" t="s">
        <v>11</v>
      </c>
      <c r="D4" s="16"/>
      <c r="E4" s="16"/>
      <c r="F4" s="16"/>
      <c r="G4" s="16"/>
      <c r="H4" s="16"/>
      <c r="I4" s="17">
        <f>SUM(D4:H4)</f>
        <v>0</v>
      </c>
      <c r="J4" s="18" t="e">
        <f t="shared" ref="J4:J6" si="0">D4/(I4-F4)</f>
        <v>#DIV/0!</v>
      </c>
    </row>
    <row r="5" s="1" customFormat="1" ht="15.6" customHeight="1" spans="1:10">
      <c r="A5" s="19"/>
      <c r="B5" s="14" t="s">
        <v>12</v>
      </c>
      <c r="C5" s="15" t="s">
        <v>13</v>
      </c>
      <c r="D5" s="16"/>
      <c r="E5" s="16"/>
      <c r="F5" s="16"/>
      <c r="G5" s="16"/>
      <c r="H5" s="16"/>
      <c r="I5" s="17">
        <f>SUM(D5:H5)</f>
        <v>0</v>
      </c>
      <c r="J5" s="18" t="e">
        <f t="shared" si="0"/>
        <v>#DIV/0!</v>
      </c>
    </row>
    <row r="6" s="1" customFormat="1" ht="15.6" customHeight="1" spans="1:10">
      <c r="B6" s="20"/>
      <c r="C6" s="14" t="s">
        <v>8</v>
      </c>
      <c r="D6" s="21">
        <f t="shared" ref="D6:I6" si="1">SUM(D4:D5)</f>
        <v>0</v>
      </c>
      <c r="E6" s="22">
        <f t="shared" si="1"/>
        <v>0</v>
      </c>
      <c r="F6" s="23">
        <f t="shared" si="1"/>
        <v>0</v>
      </c>
      <c r="G6" s="24">
        <f t="shared" si="1"/>
        <v>0</v>
      </c>
      <c r="H6" s="25">
        <f t="shared" si="1"/>
        <v>0</v>
      </c>
      <c r="I6" s="26">
        <f t="shared" si="1"/>
        <v>0</v>
      </c>
      <c r="J6" s="18" t="e">
        <f t="shared" si="0"/>
        <v>#DIV/0!</v>
      </c>
    </row>
    <row r="7" s="1" customFormat="1" ht="15.6" spans="1:10">
      <c r="D7" s="27" t="s">
        <v>14</v>
      </c>
      <c r="E7" s="27"/>
      <c r="F7" s="27"/>
      <c r="G7" s="28" t="e">
        <f>(D6+E6)/(I6-F6)</f>
        <v>#DIV/0!</v>
      </c>
      <c r="H7" s="28"/>
      <c r="I7" s="28"/>
    </row>
    <row r="8" s="1" customFormat="1" ht="15.6" spans="1:10">
      <c r="D8" s="29" t="s">
        <v>15</v>
      </c>
      <c r="E8" s="29"/>
      <c r="F8" s="29"/>
      <c r="G8" s="30" t="e">
        <f>D6/(I6-F6)</f>
        <v>#DIV/0!</v>
      </c>
      <c r="H8" s="30"/>
      <c r="I8" s="30"/>
    </row>
    <row r="11" s="1" customFormat="1" ht="15.6" spans="1:10">
      <c r="B11" s="2" t="s">
        <v>16</v>
      </c>
      <c r="C11" s="3"/>
      <c r="D11" s="3"/>
      <c r="E11" s="3"/>
      <c r="F11" s="3"/>
      <c r="G11" s="3"/>
      <c r="H11" s="3"/>
      <c r="I11" s="3"/>
      <c r="J11" s="3"/>
    </row>
    <row r="12" s="1" customFormat="1" ht="18" customHeight="1" spans="1:10">
      <c r="B12" s="4" t="s">
        <v>1</v>
      </c>
      <c r="C12" s="5" t="s">
        <v>2</v>
      </c>
      <c r="D12" s="6" t="s">
        <v>3</v>
      </c>
      <c r="E12" s="7" t="s">
        <v>4</v>
      </c>
      <c r="F12" s="8" t="s">
        <v>5</v>
      </c>
      <c r="G12" s="9" t="s">
        <v>6</v>
      </c>
      <c r="H12" s="10" t="s">
        <v>7</v>
      </c>
      <c r="I12" s="11" t="s">
        <v>8</v>
      </c>
      <c r="J12" s="12" t="s">
        <v>9</v>
      </c>
    </row>
    <row r="13" s="1" customFormat="1" ht="15.6" spans="1:10">
      <c r="B13" s="14" t="s">
        <v>17</v>
      </c>
      <c r="C13" s="15" t="s">
        <v>11</v>
      </c>
      <c r="D13" s="16"/>
      <c r="E13" s="16"/>
      <c r="F13" s="16"/>
      <c r="G13" s="16"/>
      <c r="H13" s="16"/>
      <c r="I13" s="17"/>
      <c r="J13" s="18" t="e">
        <f t="shared" ref="J13:J15" si="2">D13/(I13-F13)</f>
        <v>#DIV/0!</v>
      </c>
    </row>
    <row r="14" s="1" customFormat="1" ht="15.6" spans="1:10">
      <c r="B14" s="31"/>
      <c r="C14" s="15" t="s">
        <v>13</v>
      </c>
      <c r="D14" s="16"/>
      <c r="E14" s="16"/>
      <c r="F14" s="16"/>
      <c r="G14" s="16"/>
      <c r="H14" s="16"/>
      <c r="I14" s="17"/>
      <c r="J14" s="18" t="e">
        <f t="shared" si="2"/>
        <v>#DIV/0!</v>
      </c>
    </row>
    <row r="15" s="1" customFormat="1" ht="15.6" spans="1:10">
      <c r="B15" s="32"/>
      <c r="C15" s="14" t="s">
        <v>8</v>
      </c>
      <c r="D15" s="21"/>
      <c r="E15" s="22"/>
      <c r="F15" s="23"/>
      <c r="G15" s="24"/>
      <c r="H15" s="25"/>
      <c r="I15" s="26"/>
      <c r="J15" s="18" t="e">
        <f t="shared" si="2"/>
        <v>#DIV/0!</v>
      </c>
    </row>
    <row r="16" s="1" customFormat="1" ht="15.6" spans="1:10">
      <c r="D16" s="27" t="s">
        <v>14</v>
      </c>
      <c r="E16" s="27"/>
      <c r="F16" s="27"/>
      <c r="G16" s="28" t="e">
        <f>(D15+E15)/(I15-F15)</f>
        <v>#DIV/0!</v>
      </c>
      <c r="H16" s="28"/>
      <c r="I16" s="28"/>
    </row>
    <row r="17" s="1" customFormat="1" ht="15.6" spans="1:9">
      <c r="D17" s="29" t="s">
        <v>15</v>
      </c>
      <c r="E17" s="29"/>
      <c r="F17" s="29"/>
      <c r="G17" s="30" t="e">
        <f>D15/(I15-F15)</f>
        <v>#DIV/0!</v>
      </c>
      <c r="H17" s="30"/>
      <c r="I17" s="30"/>
    </row>
    <row r="19" s="1" customFormat="1" ht="15.6" spans="1:9">
      <c r="A19" s="1">
        <f>80+84</f>
        <v>164</v>
      </c>
      <c r="B19" s="33"/>
      <c r="C19" s="34" t="s">
        <v>18</v>
      </c>
      <c r="D19" s="34"/>
      <c r="E19" s="34"/>
      <c r="F19" s="34"/>
      <c r="G19" s="34"/>
      <c r="H19" s="34"/>
    </row>
    <row r="20" s="1" customFormat="1" ht="15.6" spans="1:9">
      <c r="C20" s="35" t="s">
        <v>19</v>
      </c>
      <c r="D20" s="29" t="s">
        <v>20</v>
      </c>
      <c r="E20" s="36" t="s">
        <v>21</v>
      </c>
      <c r="F20" s="37" t="s">
        <v>22</v>
      </c>
      <c r="G20" s="38" t="s">
        <v>23</v>
      </c>
      <c r="H20" s="39" t="s">
        <v>8</v>
      </c>
    </row>
    <row r="21" s="1" customFormat="1" ht="15.6" spans="1:9">
      <c r="C21" s="15" t="s">
        <v>11</v>
      </c>
      <c r="D21" s="40"/>
      <c r="E21" s="40"/>
      <c r="F21" s="41"/>
      <c r="G21" s="41"/>
      <c r="H21" s="42">
        <f>SUM(D21:G21)</f>
        <v>0</v>
      </c>
      <c r="I21" s="43"/>
    </row>
    <row r="22" s="1" customFormat="1" ht="15.6" spans="1:9">
      <c r="C22" s="15" t="s">
        <v>13</v>
      </c>
      <c r="D22" s="40"/>
      <c r="E22" s="40"/>
      <c r="F22" s="41"/>
      <c r="G22" s="41"/>
      <c r="H22" s="44">
        <f>SUM(D22:G22)</f>
        <v>0</v>
      </c>
      <c r="I22" s="43"/>
    </row>
    <row r="23" s="1" customFormat="1" ht="15.6" spans="1:9">
      <c r="C23" s="35" t="s">
        <v>8</v>
      </c>
      <c r="D23" s="45"/>
      <c r="E23" s="45"/>
      <c r="F23" s="46"/>
      <c r="G23" s="46"/>
      <c r="H23" s="47">
        <f>SUM(H21:H22)</f>
        <v>0</v>
      </c>
      <c r="I23" s="43"/>
    </row>
    <row r="24" s="1" customFormat="1" ht="15.6" spans="1:9">
      <c r="C24" s="48"/>
      <c r="D24" s="49" t="s">
        <v>24</v>
      </c>
      <c r="E24" s="49"/>
      <c r="F24" s="50" t="e">
        <f>(D23+E23)/H23</f>
        <v>#DIV/0!</v>
      </c>
      <c r="G24" s="50"/>
      <c r="H24" s="51"/>
      <c r="I24" s="43"/>
    </row>
    <row r="25" s="1" customFormat="1" ht="15.6" spans="1:9">
      <c r="B25" s="52"/>
      <c r="C25" s="52"/>
      <c r="D25" s="53" t="s">
        <v>25</v>
      </c>
      <c r="E25" s="54"/>
      <c r="F25" s="55" t="e">
        <f>(D23+E23+F23)/H23</f>
        <v>#DIV/0!</v>
      </c>
      <c r="G25" s="56"/>
      <c r="I25" s="43"/>
    </row>
    <row r="26" s="1" customFormat="1" ht="15.6" spans="1:9">
      <c r="B26" s="52"/>
      <c r="C26" s="52"/>
      <c r="D26" s="57"/>
      <c r="E26" s="57"/>
      <c r="F26" s="58"/>
      <c r="G26" s="59"/>
      <c r="I26" s="43"/>
    </row>
    <row r="27" s="1" customFormat="1" ht="15.6" spans="1:9">
      <c r="B27" s="33"/>
      <c r="C27" s="34" t="s">
        <v>26</v>
      </c>
      <c r="D27" s="34"/>
      <c r="E27" s="34"/>
      <c r="F27" s="34"/>
      <c r="G27" s="34"/>
      <c r="H27" s="34"/>
      <c r="I27" s="43"/>
    </row>
    <row r="28" s="1" customFormat="1" ht="15.6" spans="1:9">
      <c r="B28" s="60"/>
      <c r="C28" s="35" t="s">
        <v>19</v>
      </c>
      <c r="D28" s="29" t="s">
        <v>20</v>
      </c>
      <c r="E28" s="36" t="s">
        <v>21</v>
      </c>
      <c r="F28" s="37" t="s">
        <v>22</v>
      </c>
      <c r="G28" s="38" t="s">
        <v>23</v>
      </c>
      <c r="H28" s="39" t="s">
        <v>8</v>
      </c>
      <c r="I28" s="43"/>
    </row>
    <row r="29" s="1" customFormat="1" ht="15.6" spans="1:9">
      <c r="B29" s="60"/>
      <c r="C29" s="15" t="s">
        <v>11</v>
      </c>
      <c r="D29" s="61"/>
      <c r="E29" s="61"/>
      <c r="F29" s="62"/>
      <c r="G29" s="62"/>
      <c r="H29" s="63">
        <f>SUM(D29:G29)</f>
        <v>0</v>
      </c>
      <c r="I29" s="43"/>
    </row>
    <row r="30" s="1" customFormat="1" ht="15.6" spans="1:9">
      <c r="B30" s="60"/>
      <c r="C30" s="15" t="s">
        <v>13</v>
      </c>
      <c r="D30" s="61"/>
      <c r="E30" s="61"/>
      <c r="F30" s="62"/>
      <c r="G30" s="62"/>
      <c r="H30" s="63">
        <f>SUM(D30:G30)</f>
        <v>0</v>
      </c>
      <c r="I30" s="43"/>
    </row>
    <row r="31" s="1" customFormat="1" ht="15.6" spans="1:9">
      <c r="B31" s="60"/>
      <c r="C31" s="35" t="s">
        <v>8</v>
      </c>
      <c r="D31" s="64"/>
      <c r="E31" s="64"/>
      <c r="F31" s="65"/>
      <c r="G31" s="66"/>
      <c r="H31" s="67">
        <f>SUM(H29:H30)</f>
        <v>0</v>
      </c>
    </row>
    <row r="32" s="1" customFormat="1" ht="15.6" spans="1:9">
      <c r="B32" s="68"/>
      <c r="C32" s="52"/>
      <c r="D32" s="49" t="s">
        <v>24</v>
      </c>
      <c r="E32" s="49"/>
      <c r="F32" s="50" t="e">
        <f>(D31+E31)/H31</f>
        <v>#DIV/0!</v>
      </c>
      <c r="G32" s="50"/>
      <c r="H32" s="69"/>
    </row>
    <row r="33" s="1" customFormat="1" ht="15.6" spans="2:8">
      <c r="B33" s="68"/>
      <c r="C33" s="52"/>
      <c r="D33" s="53" t="s">
        <v>25</v>
      </c>
      <c r="E33" s="54"/>
      <c r="F33" s="55" t="e">
        <f>(D31+E31+F31)/H31</f>
        <v>#DIV/0!</v>
      </c>
      <c r="G33" s="56"/>
      <c r="H33" s="69"/>
    </row>
    <row r="39" s="1" customFormat="1" ht="16" customHeight="1"/>
  </sheetData>
  <mergeCells count="20">
    <mergeCell ref="B2:J2"/>
    <mergeCell ref="D7:F7"/>
    <mergeCell ref="G7:I7"/>
    <mergeCell ref="D8:F8"/>
    <mergeCell ref="G8:I8"/>
    <mergeCell ref="B11:J11"/>
    <mergeCell ref="D16:F16"/>
    <mergeCell ref="G16:I16"/>
    <mergeCell ref="D17:F17"/>
    <mergeCell ref="G17:I17"/>
    <mergeCell ref="C19:H19"/>
    <mergeCell ref="D24:E24"/>
    <mergeCell ref="F24:G24"/>
    <mergeCell ref="D25:E25"/>
    <mergeCell ref="F25:G25"/>
    <mergeCell ref="C27:H27"/>
    <mergeCell ref="D32:E32"/>
    <mergeCell ref="F32:G32"/>
    <mergeCell ref="D33:E33"/>
    <mergeCell ref="F33:G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sanjay.k</dc:creator>
  <cp:lastModifiedBy>WPS_1774380132</cp:lastModifiedBy>
  <dcterms:created xsi:type="dcterms:W3CDTF">2026-08-28T11:32:41Z</dcterms:created>
  <dcterms:modified xsi:type="dcterms:W3CDTF">2026-08-28T11:34:22Z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11DADF0D4B984124B8087183199E5EEB_11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