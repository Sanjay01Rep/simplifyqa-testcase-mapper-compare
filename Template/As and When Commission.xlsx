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11-09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<sst xmlns="http://schemas.openxmlformats.org/spreadsheetml/2006/main" count="22" uniqueCount="19">
  <si>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As And When Commission Daily Status Report</t>
  </si>
  <si>
    <t>Lead Champion</t>
  </si>
  <si>
    <t xml:space="preserve">Passed </t>
  </si>
  <si>
    <t xml:space="preserve">Failed </t>
  </si>
  <si>
    <t>Blocked</t>
  </si>
  <si>
    <t>In Progress</t>
  </si>
  <si>
    <t>Not Executed</t>
  </si>
  <si>
    <t>Total</t>
  </si>
  <si>
    <t>Pass Rate</t>
  </si>
  <si>
    <t>Patience</t>
  </si>
  <si>
    <t xml:space="preserve">Execution Rate </t>
  </si>
  <si>
    <t>Overall Pass Rate</t>
  </si>
  <si>
    <t>As And When Commission Defects</t>
  </si>
  <si>
    <t xml:space="preserve">Closed </t>
  </si>
  <si>
    <t>Deferred</t>
  </si>
  <si>
    <t>Fixed</t>
  </si>
  <si>
    <t>Pending</t>
  </si>
  <si>
    <t>Closure Rate</t>
  </si>
  <si>
    <t>Resolution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</si>
</sst>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Aptos Narrow"/>
      <charset val="0"/>
    </font>
    <font>
      <b/>
      <sz val="11"/>
      <color rgb="FF000000"/>
      <name val="Calibri"/>
      <charset val="0"/>
    </font>
    <font>
      <b/>
      <sz val="12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9" borderId="6" applyNumberFormat="0" applyAlignment="0" applyProtection="0">
      <alignment vertical="center"/>
    </xf>
    <xf numFmtId="0" fontId="20" fillId="20" borderId="7" applyNumberFormat="0" applyAlignment="0" applyProtection="0">
      <alignment vertical="center"/>
    </xf>
    <xf numFmtId="0" fontId="21" fillId="20" borderId="6" applyNumberFormat="0" applyAlignment="0" applyProtection="0">
      <alignment vertical="center"/>
    </xf>
    <xf numFmtId="0" fontId="22" fillId="21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5" borderId="2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2" fillId="7" borderId="2" xfId="0" applyFont="1" applyFill="1" applyBorder="1" applyAlignment="1">
      <alignment horizontal="center" vertical="center" wrapText="1" readingOrder="1"/>
    </xf>
    <xf numFmtId="0" fontId="2" fillId="8" borderId="2" xfId="0" applyFont="1" applyFill="1" applyBorder="1" applyAlignment="1">
      <alignment horizontal="center" vertical="center" wrapText="1" readingOrder="1"/>
    </xf>
    <xf numFmtId="0" fontId="2" fillId="9" borderId="2" xfId="0" applyFont="1" applyFill="1" applyBorder="1" applyAlignment="1">
      <alignment horizontal="center" vertical="center" wrapText="1" readingOrder="1"/>
    </xf>
    <xf numFmtId="0" fontId="3" fillId="10" borderId="2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9" fontId="3" fillId="10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2" fillId="7" borderId="1" xfId="0" applyFont="1" applyFill="1" applyBorder="1" applyAlignment="1">
      <alignment horizontal="center" vertical="center" wrapText="1" readingOrder="1"/>
    </xf>
    <xf numFmtId="0" fontId="2" fillId="8" borderId="1" xfId="0" applyFont="1" applyFill="1" applyBorder="1" applyAlignment="1">
      <alignment horizontal="center" vertical="center" wrapText="1" readingOrder="1"/>
    </xf>
    <xf numFmtId="0" fontId="6" fillId="12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9" fontId="3" fillId="0" borderId="1" xfId="3" applyNumberFormat="1" applyFont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readingOrder="1"/>
    </xf>
    <xf numFmtId="9" fontId="10" fillId="0" borderId="1" xfId="0" applyNumberFormat="1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J14" sqref="J14"/>
    </sheetView>
  </sheetViews>
  <sheetFormatPr defaultColWidth="8.88888888888889" defaultRowHeight="14.4"/>
  <cols>
    <col min="1" max="1" width="17.4444444444444" style="1" customWidth="1"/>
    <col min="2" max="2" width="16.8888888888889" style="1" customWidth="1"/>
    <col min="3" max="3" width="11" style="1" customWidth="1"/>
    <col min="4" max="4" width="9.88888888888889" style="1" customWidth="1"/>
    <col min="5" max="5" width="10.4444444444444" style="1" customWidth="1"/>
    <col min="6" max="6" width="11" style="1" customWidth="1"/>
    <col min="7" max="7" width="13.2222222222222" style="1" customWidth="1"/>
    <col min="8" max="8" width="9.77777777777778" style="1" customWidth="1"/>
    <col min="9" max="9" width="8.88888888888889" style="1" hidden="1" customWidth="1"/>
    <col min="10" max="10" width="8.88888888888889" style="1"/>
    <col min="11" max="11" width="12.8888888888889" style="1"/>
    <col min="12" max="12" width="27.8888888888889" style="1" customWidth="1"/>
    <col min="13" max="16384" width="8.88888888888889" style="1"/>
  </cols>
  <sheetData>
    <row r="1" s="1" customFormat="1" customHeight="1"/>
    <row r="2" s="1" customFormat="1" ht="15.6" customHeight="1" spans="1:9">
      <c r="B2" s="2" t="s">
        <v>0</v>
      </c>
      <c r="C2" s="2"/>
      <c r="D2" s="2"/>
      <c r="E2" s="2"/>
      <c r="F2" s="2"/>
      <c r="G2" s="2"/>
      <c r="H2" s="2"/>
      <c r="I2" s="2"/>
    </row>
    <row r="3" s="1" customFormat="1" ht="15.6" customHeight="1" spans="1:9">
      <c r="B3" s="3" t="s">
        <v>1</v>
      </c>
      <c r="C3" s="4" t="s">
        <v>2</v>
      </c>
      <c r="D3" s="5" t="s">
        <v>3</v>
      </c>
      <c r="E3" s="6" t="s">
        <v>4</v>
      </c>
      <c r="F3" s="7" t="s">
        <v>5</v>
      </c>
      <c r="G3" s="8" t="s">
        <v>6</v>
      </c>
      <c r="H3" s="9" t="s">
        <v>7</v>
      </c>
      <c r="I3" s="10" t="s">
        <v>8</v>
      </c>
    </row>
    <row r="4" s="1" customFormat="1" ht="15.6" customHeight="1" spans="1:9">
      <c r="A4" s="11"/>
      <c r="B4" s="12" t="s">
        <v>9</v>
      </c>
      <c r="C4" s="13"/>
      <c r="D4" s="13"/>
      <c r="E4" s="13"/>
      <c r="F4" s="13"/>
      <c r="G4" s="13"/>
      <c r="H4" s="14">
        <f>SUM(C4:G4)</f>
        <v>0</v>
      </c>
      <c r="I4" s="15" t="e">
        <f>C4/(H4-E4)</f>
        <v>#DIV/0!</v>
      </c>
    </row>
    <row r="5" s="1" customFormat="1" ht="15.6" customHeight="1" spans="1:9">
      <c r="B5" s="16" t="s">
        <v>7</v>
      </c>
      <c r="C5" s="17">
        <f t="shared" ref="C5:H5" si="0">SUM(C4:C4)</f>
        <v>0</v>
      </c>
      <c r="D5" s="18">
        <f t="shared" si="0"/>
        <v>0</v>
      </c>
      <c r="E5" s="19">
        <f t="shared" si="0"/>
        <v>0</v>
      </c>
      <c r="F5" s="20">
        <f t="shared" si="0"/>
        <v>0</v>
      </c>
      <c r="G5" s="21">
        <f t="shared" si="0"/>
        <v>0</v>
      </c>
      <c r="H5" s="22">
        <f t="shared" si="0"/>
        <v>0</v>
      </c>
      <c r="I5" s="15" t="e">
        <f>C5/(H5-E5)</f>
        <v>#DIV/0!</v>
      </c>
    </row>
    <row r="6" s="1" customFormat="1" ht="15.6" spans="1:9">
      <c r="C6" s="23" t="s">
        <v>10</v>
      </c>
      <c r="D6" s="23"/>
      <c r="E6" s="23"/>
      <c r="F6" s="24" t="e">
        <f>(C5+D5)/(H5-E5)</f>
        <v>#DIV/0!</v>
      </c>
      <c r="G6" s="24"/>
      <c r="H6" s="24"/>
    </row>
    <row r="7" s="1" customFormat="1" ht="15.6" spans="1:9">
      <c r="C7" s="25" t="s">
        <v>11</v>
      </c>
      <c r="D7" s="25"/>
      <c r="E7" s="25"/>
      <c r="F7" s="26" t="e">
        <f>C5/(H5-E5)</f>
        <v>#DIV/0!</v>
      </c>
      <c r="G7" s="26"/>
      <c r="H7" s="26"/>
    </row>
    <row r="10" ht="15.6" spans="1:9">
      <c r="B10" s="27"/>
      <c r="C10" s="28" t="s">
        <v>12</v>
      </c>
      <c r="D10" s="28"/>
      <c r="E10" s="28"/>
      <c r="F10" s="28"/>
      <c r="G10" s="28"/>
    </row>
    <row r="11" s="1" customFormat="1" ht="15.6" spans="1:9">
      <c r="B11" s="27"/>
      <c r="C11" s="25" t="s">
        <v>13</v>
      </c>
      <c r="D11" s="29" t="s">
        <v>14</v>
      </c>
      <c r="E11" s="30" t="s">
        <v>15</v>
      </c>
      <c r="F11" s="31" t="s">
        <v>16</v>
      </c>
      <c r="G11" s="32" t="s">
        <v>7</v>
      </c>
    </row>
    <row r="12" s="1" customFormat="1" ht="15.6" spans="1:9">
      <c r="B12" s="27"/>
      <c r="C12" s="33"/>
      <c r="D12" s="33"/>
      <c r="E12" s="34"/>
      <c r="F12" s="34"/>
      <c r="G12" s="35">
        <f>SUM(C12:F12)</f>
        <v>0</v>
      </c>
    </row>
    <row r="13" s="1" customFormat="1" ht="15.6" spans="1:9">
      <c r="C13" s="36" t="s">
        <v>17</v>
      </c>
      <c r="D13" s="36"/>
      <c r="E13" s="36"/>
      <c r="F13" s="37" t="e">
        <f>(C12+E12)/G12</f>
        <v>#DIV/0!</v>
      </c>
      <c r="G13" s="37"/>
    </row>
    <row r="14" s="1" customFormat="1" ht="15.6" spans="1:9">
      <c r="C14" s="38" t="s">
        <v>18</v>
      </c>
      <c r="D14" s="38"/>
      <c r="E14" s="38"/>
      <c r="F14" s="37" t="e">
        <f>(C12+D12+E12)/G12</f>
        <v>#DIV/0!</v>
      </c>
      <c r="G14" s="37"/>
    </row>
    <row r="19" ht="15.6" spans="9:9">
      <c r="I19" s="2"/>
    </row>
    <row r="20" spans="9:9">
      <c r="I20" s="10" t="s">
        <v>8</v>
      </c>
    </row>
    <row r="21" spans="9:9">
      <c r="I21" s="15" t="e">
        <f>#REF!/#REF!</f>
        <v>#REF!</v>
      </c>
    </row>
    <row r="22" s="1" customFormat="1" ht="16" customHeight="1" spans="9:9">
      <c r="I22" s="15" t="e">
        <f>#REF!/(#REF!-#REF!)</f>
        <v>#REF!</v>
      </c>
    </row>
  </sheetData>
  <mergeCells count="10">
    <mergeCell ref="B2:I2"/>
    <mergeCell ref="C6:E6"/>
    <mergeCell ref="F6:H6"/>
    <mergeCell ref="C7:E7"/>
    <mergeCell ref="F7:H7"/>
    <mergeCell ref="C10:G10"/>
    <mergeCell ref="C13:E13"/>
    <mergeCell ref="F13:G13"/>
    <mergeCell ref="C14:E14"/>
    <mergeCell ref="F14:G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11-09-26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sanjay.k</dc:creator>
  <cp:lastModifiedBy>WPS_1774380132</cp:lastModifiedBy>
  <dcterms:created xsi:type="dcterms:W3CDTF">2026-09-16T11:06:00Z</dcterms:created>
  <dcterms:modified xsi:type="dcterms:W3CDTF">2026-09-22T17:17:14Z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8E56A6D642554CD0BE49977B420A1B2D_11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