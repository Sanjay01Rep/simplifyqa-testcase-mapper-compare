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<sst xmlns="http://schemas.openxmlformats.org/spreadsheetml/2006/main" count="258" uniqueCount="64">
  <si>
    <t>Sprint 1 – General Kenya | Module-wise Daily Status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</si>
  <si>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</si>
  <si>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</si>
  <si>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</si>
  <si>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</si>
  <si>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</si>
  <si>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</si>
  <si>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</si>
  <si>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</si>
  <si>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</si>
  <si>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Jessica Doreen</t>
  </si>
  <si>
    <t>Accounts Payable</t>
  </si>
  <si>
    <t>Kasive</t>
  </si>
  <si>
    <t>Budgeting</t>
  </si>
  <si>
    <t>Angelica Songok</t>
  </si>
  <si>
    <t>Fixed Assets Management</t>
  </si>
  <si>
    <t>Obadiah</t>
  </si>
  <si>
    <t>Procurement</t>
  </si>
  <si>
    <t>Monicah Waititu</t>
  </si>
  <si>
    <t>Tax Management</t>
  </si>
  <si>
    <t xml:space="preserve">Execution Rate </t>
  </si>
  <si>
    <t>Overall Pass Rate</t>
  </si>
  <si>
    <t>Sprint 1 – Life Kenya| Module-wise Daily Status Report</t>
  </si>
  <si>
    <t>Margaret Wangari</t>
  </si>
  <si>
    <t>Benson Nzimi</t>
  </si>
  <si>
    <t>Lilian Njuguna</t>
  </si>
  <si>
    <t>Allan Ndungu</t>
  </si>
  <si>
    <t xml:space="preserve"> General Kenya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</si>
  <si>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</si>
  <si>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</si>
  <si>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</si>
  <si>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</si>
  <si>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</si>
  <si>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</si>
  <si>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</si>
  <si>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 xml:space="preserve"> Life Kenya Sprint 1 Defect Summary</t>
  </si>
  <si>
    <t>Sprint 2 – General Kenya | Module-wise Daily Status</t>
  </si>
  <si>
    <t>Teresina</t>
  </si>
  <si>
    <t>Bonus</t>
  </si>
  <si>
    <t>Cash &amp; Bank Management</t>
  </si>
  <si>
    <t>Jeremiah Ngethe</t>
  </si>
  <si>
    <t>Credit Control</t>
  </si>
  <si>
    <t>Expense Management</t>
  </si>
  <si>
    <t>Elisha Muruga</t>
  </si>
  <si>
    <t>Financial Reporting</t>
  </si>
  <si>
    <t>General Ledger</t>
  </si>
  <si>
    <t>Robert Mkirema</t>
  </si>
  <si>
    <t>Integrations</t>
  </si>
  <si>
    <t>Magdaline Muchiri</t>
  </si>
  <si>
    <t>Investment Management</t>
  </si>
  <si>
    <t>Leonard</t>
  </si>
  <si>
    <t>Payroll</t>
  </si>
  <si>
    <t>Salary Review</t>
  </si>
  <si>
    <t>Data Migration TC's</t>
  </si>
  <si>
    <t>Accounts Receivable</t>
  </si>
  <si>
    <t>Sprint 2 – Life Kenya| Module-wise Daily Status Report</t>
  </si>
  <si>
    <t>Gabriel Kilonzo</t>
  </si>
  <si>
    <t>Robert Kanyi</t>
  </si>
  <si>
    <t>Jairus Otanga</t>
  </si>
  <si>
    <t>Stella Nzioka</t>
  </si>
  <si>
    <t>FA Payroll</t>
  </si>
  <si>
    <t xml:space="preserve"> Life Kenya Sprint 2 Defect Summary</t>
  </si>
  <si>
    <t xml:space="preserve"> General Kenya Sprint 1 Defect Summary</t>
  </si>
  <si>
    <t xml:space="preserve"> General Kenya Sprint 2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</si>
</sst>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Aptos Narrow"/>
      <charset val="0"/>
    </font>
    <font>
      <b/>
      <sz val="11"/>
      <color rgb="FF000000"/>
      <name val="Calibri"/>
      <charset val="0"/>
    </font>
    <font>
      <b/>
      <sz val="12"/>
      <color rgb="FF000000"/>
      <name val="Calibri"/>
      <charset val="0"/>
    </font>
    <font>
      <b/>
      <sz val="12"/>
      <color rgb="FF000000"/>
      <name val="Aptos"/>
      <charset val="0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b/>
      <sz val="12"/>
      <color rgb="FF000000"/>
      <name val="Calibri"/>
      <charset val="0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0"/>
    </font>
    <font>
      <sz val="11"/>
      <color theme="1"/>
      <name val="Calibri"/>
      <charset val="134"/>
    </font>
    <font>
      <sz val="12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9" borderId="9" applyNumberFormat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1" fillId="21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 readingOrder="1"/>
    </xf>
    <xf numFmtId="0" fontId="2" fillId="10" borderId="2" xfId="0" applyFont="1" applyFill="1" applyBorder="1" applyAlignment="1">
      <alignment horizontal="center" vertical="center" wrapText="1" readingOrder="1"/>
    </xf>
    <xf numFmtId="0" fontId="4" fillId="11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9" fontId="4" fillId="11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8" borderId="3" xfId="0" applyFont="1" applyFill="1" applyBorder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center" vertical="center" wrapText="1" readingOrder="1"/>
    </xf>
    <xf numFmtId="0" fontId="4" fillId="2" borderId="3" xfId="0" applyNumberFormat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9" fontId="4" fillId="0" borderId="3" xfId="3" applyNumberFormat="1" applyFont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9" fontId="4" fillId="0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1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readingOrder="1"/>
    </xf>
    <xf numFmtId="0" fontId="8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readingOrder="1"/>
    </xf>
    <xf numFmtId="0" fontId="8" fillId="14" borderId="3" xfId="0" applyFont="1" applyFill="1" applyBorder="1" applyAlignment="1">
      <alignment horizontal="center" vertical="center" readingOrder="1"/>
    </xf>
    <xf numFmtId="9" fontId="8" fillId="0" borderId="3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17" borderId="3" xfId="0" applyFont="1" applyFill="1" applyBorder="1" applyAlignment="1">
      <alignment horizontal="center" vertical="center" readingOrder="1"/>
    </xf>
    <xf numFmtId="0" fontId="8" fillId="17" borderId="3" xfId="0" applyFont="1" applyFill="1" applyBorder="1" applyAlignment="1">
      <alignment horizontal="center" vertical="center" readingOrder="1"/>
    </xf>
    <xf numFmtId="9" fontId="8" fillId="0" borderId="4" xfId="0" applyNumberFormat="1" applyFont="1" applyFill="1" applyBorder="1" applyAlignment="1">
      <alignment horizontal="center" vertical="center"/>
    </xf>
    <xf numFmtId="9" fontId="8" fillId="0" borderId="5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readingOrder="1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readingOrder="1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 readingOrder="1"/>
    </xf>
    <xf numFmtId="0" fontId="15" fillId="0" borderId="3" xfId="0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readingOrder="1"/>
    </xf>
    <xf numFmtId="0" fontId="18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readingOrder="1"/>
    </xf>
    <xf numFmtId="0" fontId="2" fillId="1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"/>
  <sheetViews>
    <sheetView tabSelected="1" topLeftCell="A134" workbookViewId="0">
      <selection activeCell="J151" sqref="J151"/>
    </sheetView>
  </sheetViews>
  <sheetFormatPr defaultColWidth="8.88888888888889" defaultRowHeight="14.4"/>
  <cols>
    <col min="1" max="1" width="19.6666666666667" style="1" customWidth="1"/>
    <col min="2" max="2" width="28.4444444444444" style="1" customWidth="1"/>
    <col min="3" max="3" width="8.44444444444444" style="1" customWidth="1"/>
    <col min="4" max="4" width="9.88888888888889" style="1" customWidth="1"/>
    <col min="5" max="5" width="8.11111111111111" style="1" customWidth="1"/>
    <col min="6" max="6" width="11" style="1" customWidth="1"/>
    <col min="7" max="7" width="13.2222222222222" style="1" customWidth="1"/>
    <col min="8" max="8" width="7.25" style="1" customWidth="1"/>
    <col min="9" max="9" width="8.88888888888889" style="1" customWidth="1"/>
    <col min="10" max="16376" width="8.88888888888889" style="1"/>
  </cols>
  <sheetData>
    <row r="1" s="1" customFormat="1" customHeight="1"/>
    <row r="2" s="1" customFormat="1" ht="15.6" customHeight="1" spans="1:9">
      <c r="A2" s="2" t="s">
        <v>0</v>
      </c>
      <c r="B2" s="3"/>
      <c r="C2" s="3"/>
      <c r="D2" s="3"/>
      <c r="E2" s="3"/>
      <c r="F2" s="3"/>
      <c r="G2" s="3"/>
      <c r="H2" s="3"/>
      <c r="I2" s="3"/>
    </row>
    <row r="3" s="1" customFormat="1" ht="15.6" customHeight="1" spans="1:9">
      <c r="A3" s="4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10" t="s">
        <v>7</v>
      </c>
      <c r="H3" s="11" t="s">
        <v>8</v>
      </c>
      <c r="I3" s="12" t="s">
        <v>9</v>
      </c>
    </row>
    <row r="4" s="1" customFormat="1" ht="15.6" customHeight="1" spans="1:9">
      <c r="A4" s="13" t="s">
        <v>10</v>
      </c>
      <c r="B4" s="14" t="s">
        <v>11</v>
      </c>
      <c r="C4" s="15"/>
      <c r="D4" s="15"/>
      <c r="E4" s="15"/>
      <c r="F4" s="15"/>
      <c r="G4" s="15"/>
      <c r="H4" s="16"/>
      <c r="I4" s="17" t="e">
        <f t="shared" ref="I4:I9" si="0">C4/(H4-E4)</f>
        <v>#DIV/0!</v>
      </c>
    </row>
    <row r="5" s="1" customFormat="1" ht="15.6" customHeight="1" spans="1:9">
      <c r="A5" s="13" t="s">
        <v>12</v>
      </c>
      <c r="B5" s="14" t="s">
        <v>13</v>
      </c>
      <c r="C5" s="15"/>
      <c r="D5" s="15"/>
      <c r="E5" s="15"/>
      <c r="F5" s="15"/>
      <c r="G5" s="15"/>
      <c r="H5" s="16"/>
      <c r="I5" s="17" t="e">
        <f t="shared" si="0"/>
        <v>#DIV/0!</v>
      </c>
    </row>
    <row r="6" s="1" customFormat="1" ht="15.6" customHeight="1" spans="1:9">
      <c r="A6" s="18" t="s">
        <v>14</v>
      </c>
      <c r="B6" s="14" t="s">
        <v>15</v>
      </c>
      <c r="C6" s="15"/>
      <c r="D6" s="15"/>
      <c r="E6" s="15"/>
      <c r="F6" s="15"/>
      <c r="G6" s="15"/>
      <c r="H6" s="16"/>
      <c r="I6" s="17" t="e">
        <f t="shared" si="0"/>
        <v>#DIV/0!</v>
      </c>
    </row>
    <row r="7" s="1" customFormat="1" ht="15.6" customHeight="1" spans="1:9">
      <c r="A7" s="13" t="s">
        <v>16</v>
      </c>
      <c r="B7" s="14" t="s">
        <v>17</v>
      </c>
      <c r="C7" s="15"/>
      <c r="D7" s="15"/>
      <c r="E7" s="15"/>
      <c r="F7" s="15"/>
      <c r="G7" s="15"/>
      <c r="H7" s="16"/>
      <c r="I7" s="17" t="e">
        <f t="shared" si="0"/>
        <v>#DIV/0!</v>
      </c>
    </row>
    <row r="8" s="1" customFormat="1" ht="15.6" customHeight="1" spans="1:9">
      <c r="A8" s="18" t="s">
        <v>18</v>
      </c>
      <c r="B8" s="14" t="s">
        <v>19</v>
      </c>
      <c r="C8" s="15"/>
      <c r="D8" s="15"/>
      <c r="E8" s="15"/>
      <c r="F8" s="15"/>
      <c r="G8" s="15"/>
      <c r="H8" s="16"/>
      <c r="I8" s="17" t="e">
        <f t="shared" si="0"/>
        <v>#DIV/0!</v>
      </c>
    </row>
    <row r="9" s="1" customFormat="1" ht="15.6" customHeight="1" spans="1:9">
      <c r="A9" s="19"/>
      <c r="B9" s="13" t="s">
        <v>8</v>
      </c>
      <c r="C9" s="20"/>
      <c r="D9" s="21"/>
      <c r="E9" s="22"/>
      <c r="F9" s="23"/>
      <c r="G9" s="24"/>
      <c r="H9" s="25"/>
      <c r="I9" s="17" t="e">
        <f t="shared" si="0"/>
        <v>#DIV/0!</v>
      </c>
    </row>
    <row r="10" s="1" customFormat="1" ht="15.6" spans="1:9">
      <c r="C10" s="26" t="s">
        <v>20</v>
      </c>
      <c r="D10" s="26"/>
      <c r="E10" s="26"/>
      <c r="F10" s="27" t="e">
        <f>(C9+D9)/(H9-E9)</f>
        <v>#DIV/0!</v>
      </c>
      <c r="G10" s="27"/>
      <c r="H10" s="27"/>
    </row>
    <row r="11" s="1" customFormat="1" ht="15.6" spans="1:9">
      <c r="C11" s="28" t="s">
        <v>21</v>
      </c>
      <c r="D11" s="28"/>
      <c r="E11" s="28"/>
      <c r="F11" s="29" t="e">
        <f>C9/(H9-E9)</f>
        <v>#DIV/0!</v>
      </c>
      <c r="G11" s="29"/>
      <c r="H11" s="29"/>
    </row>
    <row r="12" s="1" customFormat="1"/>
    <row r="13" s="1" customFormat="1"/>
    <row r="14" s="1" customFormat="1" ht="15.6" spans="1:9">
      <c r="A14" s="2" t="s">
        <v>22</v>
      </c>
      <c r="B14" s="3"/>
      <c r="C14" s="3"/>
      <c r="D14" s="3"/>
      <c r="E14" s="3"/>
      <c r="F14" s="3"/>
      <c r="G14" s="3"/>
      <c r="H14" s="3"/>
      <c r="I14" s="3"/>
    </row>
    <row r="15" s="1" customFormat="1" ht="18" customHeight="1" spans="1:9">
      <c r="A15" s="4" t="s">
        <v>1</v>
      </c>
      <c r="B15" s="5" t="s">
        <v>2</v>
      </c>
      <c r="C15" s="6" t="s">
        <v>3</v>
      </c>
      <c r="D15" s="7" t="s">
        <v>4</v>
      </c>
      <c r="E15" s="8" t="s">
        <v>5</v>
      </c>
      <c r="F15" s="9" t="s">
        <v>6</v>
      </c>
      <c r="G15" s="10" t="s">
        <v>7</v>
      </c>
      <c r="H15" s="11" t="s">
        <v>8</v>
      </c>
      <c r="I15" s="12" t="s">
        <v>9</v>
      </c>
    </row>
    <row r="16" s="1" customFormat="1" ht="15.6" spans="1:9">
      <c r="A16" s="13" t="s">
        <v>23</v>
      </c>
      <c r="B16" s="14" t="s">
        <v>11</v>
      </c>
      <c r="C16" s="15"/>
      <c r="D16" s="15"/>
      <c r="E16" s="15"/>
      <c r="F16" s="15"/>
      <c r="G16" s="15"/>
      <c r="H16" s="16"/>
      <c r="I16" s="17" t="e">
        <f t="shared" ref="I16:I21" si="1">C16/(H16-E16)</f>
        <v>#DIV/0!</v>
      </c>
    </row>
    <row r="17" s="1" customFormat="1" ht="15.6" spans="1:9">
      <c r="A17" s="18" t="s">
        <v>24</v>
      </c>
      <c r="B17" s="14" t="s">
        <v>13</v>
      </c>
      <c r="C17" s="15"/>
      <c r="D17" s="15"/>
      <c r="E17" s="15"/>
      <c r="F17" s="15"/>
      <c r="G17" s="15"/>
      <c r="H17" s="16"/>
      <c r="I17" s="17" t="e">
        <f t="shared" si="1"/>
        <v>#DIV/0!</v>
      </c>
    </row>
    <row r="18" s="1" customFormat="1" ht="15.6" spans="1:9">
      <c r="A18" s="13" t="s">
        <v>25</v>
      </c>
      <c r="B18" s="14" t="s">
        <v>15</v>
      </c>
      <c r="C18" s="15"/>
      <c r="D18" s="15"/>
      <c r="E18" s="15"/>
      <c r="F18" s="15"/>
      <c r="G18" s="15"/>
      <c r="H18" s="16"/>
      <c r="I18" s="17" t="e">
        <f t="shared" si="1"/>
        <v>#DIV/0!</v>
      </c>
    </row>
    <row r="19" s="1" customFormat="1" ht="15.6" spans="1:9">
      <c r="A19" s="13" t="s">
        <v>26</v>
      </c>
      <c r="B19" s="14" t="s">
        <v>17</v>
      </c>
      <c r="C19" s="15"/>
      <c r="D19" s="15"/>
      <c r="E19" s="15"/>
      <c r="F19" s="15"/>
      <c r="G19" s="15"/>
      <c r="H19" s="16"/>
      <c r="I19" s="17" t="e">
        <f t="shared" si="1"/>
        <v>#DIV/0!</v>
      </c>
    </row>
    <row r="20" s="1" customFormat="1" ht="15.6" spans="1:9">
      <c r="A20" s="13" t="s">
        <v>25</v>
      </c>
      <c r="B20" s="14" t="s">
        <v>19</v>
      </c>
      <c r="C20" s="15"/>
      <c r="D20" s="15"/>
      <c r="E20" s="15"/>
      <c r="F20" s="15"/>
      <c r="G20" s="15"/>
      <c r="H20" s="16"/>
      <c r="I20" s="17" t="e">
        <f t="shared" si="1"/>
        <v>#DIV/0!</v>
      </c>
    </row>
    <row r="21" s="1" customFormat="1" ht="15.6" spans="1:9">
      <c r="A21" s="30"/>
      <c r="B21" s="13" t="s">
        <v>8</v>
      </c>
      <c r="C21" s="20"/>
      <c r="D21" s="21"/>
      <c r="E21" s="22"/>
      <c r="F21" s="23"/>
      <c r="G21" s="24"/>
      <c r="H21" s="25"/>
      <c r="I21" s="17" t="e">
        <f t="shared" si="1"/>
        <v>#DIV/0!</v>
      </c>
    </row>
    <row r="22" s="1" customFormat="1" ht="15.6" spans="1:9">
      <c r="C22" s="26" t="s">
        <v>20</v>
      </c>
      <c r="D22" s="26"/>
      <c r="E22" s="26"/>
      <c r="F22" s="27" t="e">
        <f>(C21+D21)/(H21-E21)</f>
        <v>#DIV/0!</v>
      </c>
      <c r="G22" s="27"/>
      <c r="H22" s="27"/>
    </row>
    <row r="23" s="1" customFormat="1" ht="15.6" spans="1:9">
      <c r="C23" s="28" t="s">
        <v>21</v>
      </c>
      <c r="D23" s="28"/>
      <c r="E23" s="28"/>
      <c r="F23" s="29" t="e">
        <f>C21/(H21-E21)</f>
        <v>#DIV/0!</v>
      </c>
      <c r="G23" s="29"/>
      <c r="H23" s="29"/>
    </row>
    <row r="24" s="1" customFormat="1"/>
    <row r="25" s="1" customFormat="1" ht="15.6" hidden="1" spans="1:9">
      <c r="A25" s="31"/>
      <c r="B25" s="32" t="s">
        <v>27</v>
      </c>
      <c r="C25" s="32"/>
      <c r="D25" s="32"/>
      <c r="E25" s="32"/>
      <c r="F25" s="32"/>
      <c r="G25" s="32"/>
    </row>
    <row r="26" s="1" customFormat="1" ht="15.6" hidden="1" spans="1:9">
      <c r="B26" s="33" t="s">
        <v>28</v>
      </c>
      <c r="C26" s="34" t="s">
        <v>29</v>
      </c>
      <c r="D26" s="35" t="s">
        <v>30</v>
      </c>
      <c r="E26" s="36" t="s">
        <v>31</v>
      </c>
      <c r="F26" s="37" t="s">
        <v>32</v>
      </c>
      <c r="G26" s="33" t="s">
        <v>8</v>
      </c>
    </row>
    <row r="27" s="1" customFormat="1" ht="15.6" hidden="1" spans="1:9">
      <c r="B27" s="14" t="s">
        <v>11</v>
      </c>
      <c r="C27" s="38">
        <v>56</v>
      </c>
      <c r="D27" s="38">
        <v>6</v>
      </c>
      <c r="E27" s="39">
        <v>0</v>
      </c>
      <c r="F27" s="39">
        <v>0</v>
      </c>
      <c r="G27" s="40">
        <f t="shared" ref="G27:G31" si="2">SUM(C27:F27)</f>
        <v>62</v>
      </c>
      <c r="H27" s="41"/>
    </row>
    <row r="28" s="1" customFormat="1" ht="15.6" hidden="1" spans="1:9">
      <c r="B28" s="14" t="s">
        <v>13</v>
      </c>
      <c r="C28" s="38">
        <v>1</v>
      </c>
      <c r="D28" s="38">
        <v>0</v>
      </c>
      <c r="E28" s="39">
        <v>0</v>
      </c>
      <c r="F28" s="39">
        <v>0</v>
      </c>
      <c r="G28" s="42">
        <f t="shared" si="2"/>
        <v>1</v>
      </c>
      <c r="H28" s="41"/>
    </row>
    <row r="29" s="1" customFormat="1" ht="15.6" hidden="1" spans="1:9">
      <c r="B29" s="14" t="s">
        <v>15</v>
      </c>
      <c r="C29" s="38">
        <v>4</v>
      </c>
      <c r="D29" s="38">
        <v>0</v>
      </c>
      <c r="E29" s="39">
        <v>0</v>
      </c>
      <c r="F29" s="39">
        <v>0</v>
      </c>
      <c r="G29" s="42">
        <f t="shared" si="2"/>
        <v>4</v>
      </c>
      <c r="H29" s="41"/>
    </row>
    <row r="30" s="1" customFormat="1" ht="15.6" hidden="1" spans="1:9">
      <c r="B30" s="14" t="s">
        <v>17</v>
      </c>
      <c r="C30" s="38">
        <v>24</v>
      </c>
      <c r="D30" s="38">
        <v>0</v>
      </c>
      <c r="E30" s="39">
        <v>0</v>
      </c>
      <c r="F30" s="39">
        <v>0</v>
      </c>
      <c r="G30" s="42">
        <f t="shared" si="2"/>
        <v>24</v>
      </c>
      <c r="H30" s="41"/>
    </row>
    <row r="31" s="1" customFormat="1" ht="15.6" hidden="1" spans="1:9">
      <c r="B31" s="14" t="s">
        <v>19</v>
      </c>
      <c r="C31" s="38">
        <v>22</v>
      </c>
      <c r="D31" s="38">
        <v>5</v>
      </c>
      <c r="E31" s="39">
        <v>0</v>
      </c>
      <c r="F31" s="39">
        <v>0</v>
      </c>
      <c r="G31" s="42">
        <f t="shared" si="2"/>
        <v>27</v>
      </c>
      <c r="H31" s="41"/>
    </row>
    <row r="32" s="1" customFormat="1" ht="15.6" hidden="1" spans="1:9">
      <c r="B32" s="33" t="s">
        <v>8</v>
      </c>
      <c r="C32" s="43">
        <f t="shared" ref="C32:G32" si="3">SUM(C27:C31)</f>
        <v>107</v>
      </c>
      <c r="D32" s="43">
        <f t="shared" si="3"/>
        <v>11</v>
      </c>
      <c r="E32" s="44">
        <f t="shared" si="3"/>
        <v>0</v>
      </c>
      <c r="F32" s="44">
        <f t="shared" si="3"/>
        <v>0</v>
      </c>
      <c r="G32" s="45">
        <f t="shared" si="3"/>
        <v>118</v>
      </c>
      <c r="H32" s="41"/>
    </row>
    <row r="33" s="1" customFormat="1" ht="15.6" hidden="1" spans="1:9">
      <c r="B33" s="46"/>
      <c r="C33" s="47" t="s">
        <v>33</v>
      </c>
      <c r="D33" s="47"/>
      <c r="E33" s="48">
        <f>(C32+D32)/G32</f>
        <v>1</v>
      </c>
      <c r="F33" s="48"/>
      <c r="G33" s="49"/>
      <c r="H33" s="41"/>
    </row>
    <row r="34" s="1" customFormat="1" ht="15.6" hidden="1" spans="1:9">
      <c r="A34" s="50"/>
      <c r="B34" s="50"/>
      <c r="C34" s="51" t="s">
        <v>34</v>
      </c>
      <c r="D34" s="52"/>
      <c r="E34" s="53">
        <f>(C32+D32+E32)/G32</f>
        <v>1</v>
      </c>
      <c r="F34" s="54"/>
      <c r="H34" s="41"/>
    </row>
    <row r="35" s="1" customFormat="1" ht="15.6" hidden="1" spans="1:9">
      <c r="A35" s="50"/>
      <c r="B35" s="50"/>
      <c r="C35" s="55"/>
      <c r="D35" s="55"/>
      <c r="E35" s="56"/>
      <c r="F35" s="57"/>
      <c r="H35" s="41"/>
    </row>
    <row r="36" s="1" customFormat="1" ht="15.6" hidden="1" spans="1:9">
      <c r="A36" s="31"/>
      <c r="B36" s="32" t="s">
        <v>35</v>
      </c>
      <c r="C36" s="32"/>
      <c r="D36" s="32"/>
      <c r="E36" s="32"/>
      <c r="F36" s="32"/>
      <c r="G36" s="32"/>
      <c r="H36" s="41"/>
    </row>
    <row r="37" s="1" customFormat="1" ht="15.6" hidden="1" spans="1:9">
      <c r="A37" s="58"/>
      <c r="B37" s="33" t="s">
        <v>28</v>
      </c>
      <c r="C37" s="34" t="s">
        <v>29</v>
      </c>
      <c r="D37" s="35" t="s">
        <v>30</v>
      </c>
      <c r="E37" s="36" t="s">
        <v>31</v>
      </c>
      <c r="F37" s="37" t="s">
        <v>32</v>
      </c>
      <c r="G37" s="33" t="s">
        <v>8</v>
      </c>
      <c r="H37" s="41"/>
    </row>
    <row r="38" s="1" customFormat="1" ht="15.6" hidden="1" spans="1:9">
      <c r="A38" s="58"/>
      <c r="B38" s="14" t="s">
        <v>11</v>
      </c>
      <c r="C38" s="59">
        <v>58</v>
      </c>
      <c r="D38" s="59">
        <v>2</v>
      </c>
      <c r="E38" s="60">
        <v>0</v>
      </c>
      <c r="F38" s="60">
        <v>0</v>
      </c>
      <c r="G38" s="61">
        <f t="shared" ref="G38:G42" si="4">SUM(C38:F38)</f>
        <v>60</v>
      </c>
      <c r="H38" s="41"/>
    </row>
    <row r="39" s="1" customFormat="1" ht="15.6" hidden="1" spans="1:9">
      <c r="A39" s="58"/>
      <c r="B39" s="14" t="s">
        <v>13</v>
      </c>
      <c r="C39" s="59">
        <v>5</v>
      </c>
      <c r="D39" s="59">
        <v>1</v>
      </c>
      <c r="E39" s="60">
        <v>0</v>
      </c>
      <c r="F39" s="60">
        <v>0</v>
      </c>
      <c r="G39" s="61">
        <f t="shared" si="4"/>
        <v>6</v>
      </c>
      <c r="H39" s="41"/>
    </row>
    <row r="40" s="1" customFormat="1" ht="15.6" hidden="1" spans="1:9">
      <c r="A40" s="58"/>
      <c r="B40" s="14" t="s">
        <v>15</v>
      </c>
      <c r="C40" s="59">
        <v>5</v>
      </c>
      <c r="D40" s="59">
        <v>0</v>
      </c>
      <c r="E40" s="60">
        <v>0</v>
      </c>
      <c r="F40" s="60">
        <v>0</v>
      </c>
      <c r="G40" s="61">
        <f t="shared" si="4"/>
        <v>5</v>
      </c>
      <c r="H40" s="41"/>
    </row>
    <row r="41" s="1" customFormat="1" ht="15.6" hidden="1" spans="1:9">
      <c r="A41" s="58"/>
      <c r="B41" s="14" t="s">
        <v>17</v>
      </c>
      <c r="C41" s="59">
        <v>19</v>
      </c>
      <c r="D41" s="59">
        <v>0</v>
      </c>
      <c r="E41" s="60">
        <v>0</v>
      </c>
      <c r="F41" s="60">
        <v>0</v>
      </c>
      <c r="G41" s="62">
        <f t="shared" si="4"/>
        <v>19</v>
      </c>
      <c r="H41" s="41"/>
    </row>
    <row r="42" s="1" customFormat="1" ht="15.6" hidden="1" spans="1:9">
      <c r="A42" s="58"/>
      <c r="B42" s="14" t="s">
        <v>19</v>
      </c>
      <c r="C42" s="59">
        <v>41</v>
      </c>
      <c r="D42" s="59">
        <v>0</v>
      </c>
      <c r="E42" s="60">
        <v>0</v>
      </c>
      <c r="F42" s="60">
        <v>0</v>
      </c>
      <c r="G42" s="61">
        <f t="shared" si="4"/>
        <v>41</v>
      </c>
      <c r="H42" s="41"/>
    </row>
    <row r="43" s="1" customFormat="1" ht="15.6" hidden="1" spans="1:9">
      <c r="A43" s="58"/>
      <c r="B43" s="33" t="s">
        <v>8</v>
      </c>
      <c r="C43" s="63">
        <f t="shared" ref="C43:G43" si="5">SUM(C38:C42)</f>
        <v>128</v>
      </c>
      <c r="D43" s="63">
        <f t="shared" si="5"/>
        <v>3</v>
      </c>
      <c r="E43" s="64">
        <f t="shared" si="5"/>
        <v>0</v>
      </c>
      <c r="F43" s="65">
        <f t="shared" si="5"/>
        <v>0</v>
      </c>
      <c r="G43" s="66">
        <f t="shared" si="5"/>
        <v>131</v>
      </c>
    </row>
    <row r="44" s="1" customFormat="1" ht="15.6" hidden="1" spans="1:9">
      <c r="A44" s="67"/>
      <c r="B44" s="50"/>
      <c r="C44" s="47" t="s">
        <v>33</v>
      </c>
      <c r="D44" s="47"/>
      <c r="E44" s="48">
        <f>(C43+D43)/G43</f>
        <v>1</v>
      </c>
      <c r="F44" s="48"/>
      <c r="G44" s="68"/>
    </row>
    <row r="45" s="1" customFormat="1" ht="15.6" hidden="1" spans="1:9">
      <c r="A45" s="67"/>
      <c r="B45" s="50"/>
      <c r="C45" s="51" t="s">
        <v>34</v>
      </c>
      <c r="D45" s="52"/>
      <c r="E45" s="53">
        <f>(C43+D43+E43)/G43</f>
        <v>1</v>
      </c>
      <c r="F45" s="54"/>
      <c r="G45" s="68"/>
    </row>
    <row r="46" s="1" customFormat="1"/>
    <row r="47" s="1" customFormat="1" ht="15.6" spans="1:9">
      <c r="A47" s="2" t="s">
        <v>36</v>
      </c>
      <c r="B47" s="3"/>
      <c r="C47" s="3"/>
      <c r="D47" s="3"/>
      <c r="E47" s="3"/>
      <c r="F47" s="3"/>
      <c r="G47" s="3"/>
      <c r="H47" s="3"/>
      <c r="I47" s="3"/>
    </row>
    <row r="48" s="1" customFormat="1" ht="15.6" spans="1:9">
      <c r="A48" s="4" t="s">
        <v>1</v>
      </c>
      <c r="B48" s="5" t="s">
        <v>2</v>
      </c>
      <c r="C48" s="6" t="s">
        <v>3</v>
      </c>
      <c r="D48" s="7" t="s">
        <v>4</v>
      </c>
      <c r="E48" s="8" t="s">
        <v>5</v>
      </c>
      <c r="F48" s="9" t="s">
        <v>6</v>
      </c>
      <c r="G48" s="10" t="s">
        <v>7</v>
      </c>
      <c r="H48" s="11" t="s">
        <v>8</v>
      </c>
      <c r="I48" s="12" t="s">
        <v>9</v>
      </c>
    </row>
    <row r="49" s="1" customFormat="1" ht="15.6" spans="1:9">
      <c r="A49" s="18" t="s">
        <v>37</v>
      </c>
      <c r="B49" s="14" t="s">
        <v>38</v>
      </c>
      <c r="C49" s="15"/>
      <c r="D49" s="15"/>
      <c r="E49" s="15"/>
      <c r="F49" s="15"/>
      <c r="G49" s="15"/>
      <c r="H49" s="69"/>
      <c r="I49" s="17" t="e">
        <f t="shared" ref="I49:I61" si="6">C49/(H49-E49)</f>
        <v>#DIV/0!</v>
      </c>
    </row>
    <row r="50" s="1" customFormat="1" ht="15.6" spans="1:9">
      <c r="A50" s="13" t="s">
        <v>10</v>
      </c>
      <c r="B50" s="14" t="s">
        <v>39</v>
      </c>
      <c r="C50" s="15"/>
      <c r="D50" s="15"/>
      <c r="E50" s="15"/>
      <c r="F50" s="15"/>
      <c r="G50" s="15"/>
      <c r="H50" s="69"/>
      <c r="I50" s="17" t="e">
        <f t="shared" si="6"/>
        <v>#DIV/0!</v>
      </c>
    </row>
    <row r="51" s="1" customFormat="1" ht="15.6" spans="1:9">
      <c r="A51" s="18" t="s">
        <v>40</v>
      </c>
      <c r="B51" s="14" t="s">
        <v>41</v>
      </c>
      <c r="C51" s="15"/>
      <c r="D51" s="15"/>
      <c r="E51" s="15"/>
      <c r="F51" s="15"/>
      <c r="G51" s="15"/>
      <c r="H51" s="69"/>
      <c r="I51" s="17" t="e">
        <f t="shared" si="6"/>
        <v>#DIV/0!</v>
      </c>
    </row>
    <row r="52" s="1" customFormat="1" ht="15.6" spans="1:9">
      <c r="A52" s="13" t="s">
        <v>10</v>
      </c>
      <c r="B52" s="14" t="s">
        <v>42</v>
      </c>
      <c r="C52" s="15"/>
      <c r="D52" s="15"/>
      <c r="E52" s="15"/>
      <c r="F52" s="15"/>
      <c r="G52" s="15"/>
      <c r="H52" s="69"/>
      <c r="I52" s="17" t="e">
        <f t="shared" si="6"/>
        <v>#DIV/0!</v>
      </c>
    </row>
    <row r="53" s="1" customFormat="1" ht="15.6" spans="1:9">
      <c r="A53" s="13" t="s">
        <v>43</v>
      </c>
      <c r="B53" s="14" t="s">
        <v>44</v>
      </c>
      <c r="C53" s="15"/>
      <c r="D53" s="15"/>
      <c r="E53" s="15"/>
      <c r="F53" s="15"/>
      <c r="G53" s="15"/>
      <c r="H53" s="69"/>
      <c r="I53" s="17" t="e">
        <f t="shared" si="6"/>
        <v>#DIV/0!</v>
      </c>
    </row>
    <row r="54" s="1" customFormat="1" ht="15.6" spans="1:9">
      <c r="A54" s="13" t="s">
        <v>12</v>
      </c>
      <c r="B54" s="14" t="s">
        <v>45</v>
      </c>
      <c r="C54" s="15"/>
      <c r="D54" s="15"/>
      <c r="E54" s="15"/>
      <c r="F54" s="15"/>
      <c r="G54" s="15"/>
      <c r="H54" s="69"/>
      <c r="I54" s="17" t="e">
        <f t="shared" si="6"/>
        <v>#DIV/0!</v>
      </c>
    </row>
    <row r="55" s="1" customFormat="1" ht="15.6" spans="1:9">
      <c r="A55" s="18" t="s">
        <v>46</v>
      </c>
      <c r="B55" s="14" t="s">
        <v>47</v>
      </c>
      <c r="C55" s="15"/>
      <c r="D55" s="15"/>
      <c r="E55" s="15"/>
      <c r="F55" s="15"/>
      <c r="G55" s="15"/>
      <c r="H55" s="69"/>
      <c r="I55" s="17" t="e">
        <f t="shared" si="6"/>
        <v>#DIV/0!</v>
      </c>
    </row>
    <row r="56" s="1" customFormat="1" ht="15.6" spans="1:9">
      <c r="A56" s="18" t="s">
        <v>48</v>
      </c>
      <c r="B56" s="14" t="s">
        <v>49</v>
      </c>
      <c r="C56" s="15"/>
      <c r="D56" s="15"/>
      <c r="E56" s="15"/>
      <c r="F56" s="15"/>
      <c r="G56" s="15"/>
      <c r="H56" s="69"/>
      <c r="I56" s="17" t="e">
        <f t="shared" si="6"/>
        <v>#DIV/0!</v>
      </c>
    </row>
    <row r="57" s="1" customFormat="1" ht="15.6" spans="1:9">
      <c r="A57" s="18" t="s">
        <v>50</v>
      </c>
      <c r="B57" s="14" t="s">
        <v>51</v>
      </c>
      <c r="C57" s="15"/>
      <c r="D57" s="15"/>
      <c r="E57" s="15"/>
      <c r="F57" s="15"/>
      <c r="G57" s="15"/>
      <c r="H57" s="69"/>
      <c r="I57" s="17" t="e">
        <f t="shared" si="6"/>
        <v>#DIV/0!</v>
      </c>
    </row>
    <row r="58" s="1" customFormat="1" ht="15.6" spans="1:9">
      <c r="A58" s="18" t="s">
        <v>37</v>
      </c>
      <c r="B58" s="14" t="s">
        <v>52</v>
      </c>
      <c r="C58" s="15"/>
      <c r="D58" s="15"/>
      <c r="E58" s="15"/>
      <c r="F58" s="15"/>
      <c r="G58" s="15"/>
      <c r="H58" s="69"/>
      <c r="I58" s="17" t="e">
        <f t="shared" si="6"/>
        <v>#DIV/0!</v>
      </c>
    </row>
    <row r="59" s="1" customFormat="1" ht="15.6" spans="1:9">
      <c r="A59" s="30"/>
      <c r="B59" s="14" t="s">
        <v>53</v>
      </c>
      <c r="C59" s="70"/>
      <c r="D59" s="70"/>
      <c r="E59" s="71"/>
      <c r="F59" s="71"/>
      <c r="G59" s="71"/>
      <c r="H59" s="72"/>
      <c r="I59" s="73" t="e">
        <f t="shared" si="6"/>
        <v>#DIV/0!</v>
      </c>
    </row>
    <row r="60" s="1" customFormat="1" ht="15.6" spans="1:9">
      <c r="A60" s="13" t="s">
        <v>10</v>
      </c>
      <c r="B60" s="14" t="s">
        <v>54</v>
      </c>
      <c r="C60" s="70"/>
      <c r="D60" s="70"/>
      <c r="E60" s="71"/>
      <c r="F60" s="71"/>
      <c r="G60" s="71"/>
      <c r="H60" s="72"/>
      <c r="I60" s="73" t="e">
        <f t="shared" si="6"/>
        <v>#DIV/0!</v>
      </c>
    </row>
    <row r="61" s="1" customFormat="1" ht="15.6" spans="1:9">
      <c r="A61" s="30"/>
      <c r="B61" s="30" t="s">
        <v>8</v>
      </c>
      <c r="C61" s="20"/>
      <c r="D61" s="21"/>
      <c r="E61" s="22"/>
      <c r="F61" s="23"/>
      <c r="G61" s="24"/>
      <c r="H61" s="25"/>
      <c r="I61" s="17" t="e">
        <f t="shared" si="6"/>
        <v>#DIV/0!</v>
      </c>
    </row>
    <row r="62" s="1" customFormat="1" ht="15.6" spans="1:9">
      <c r="C62" s="26" t="s">
        <v>20</v>
      </c>
      <c r="D62" s="26"/>
      <c r="E62" s="26"/>
      <c r="F62" s="27" t="e">
        <f>(C61+D61)/(H61-E61)</f>
        <v>#DIV/0!</v>
      </c>
      <c r="G62" s="27"/>
      <c r="H62" s="27"/>
    </row>
    <row r="63" s="1" customFormat="1" ht="15.6" spans="1:9">
      <c r="C63" s="28" t="s">
        <v>21</v>
      </c>
      <c r="D63" s="28"/>
      <c r="E63" s="28"/>
      <c r="F63" s="29" t="e">
        <f>C61/(H61-E61)</f>
        <v>#DIV/0!</v>
      </c>
      <c r="G63" s="29"/>
      <c r="H63" s="29"/>
    </row>
    <row r="64" s="1" customFormat="1"/>
    <row r="65" s="1" customFormat="1" ht="15.6" spans="1:9">
      <c r="A65" s="2" t="s">
        <v>55</v>
      </c>
      <c r="B65" s="3"/>
      <c r="C65" s="3"/>
      <c r="D65" s="3"/>
      <c r="E65" s="3"/>
      <c r="F65" s="3"/>
      <c r="G65" s="3"/>
      <c r="H65" s="3"/>
      <c r="I65" s="3"/>
    </row>
    <row r="66" s="1" customFormat="1" ht="19" customHeight="1" spans="1:9">
      <c r="A66" s="4" t="s">
        <v>1</v>
      </c>
      <c r="B66" s="5" t="s">
        <v>2</v>
      </c>
      <c r="C66" s="6" t="s">
        <v>3</v>
      </c>
      <c r="D66" s="7" t="s">
        <v>4</v>
      </c>
      <c r="E66" s="8" t="s">
        <v>5</v>
      </c>
      <c r="F66" s="9" t="s">
        <v>6</v>
      </c>
      <c r="G66" s="10" t="s">
        <v>7</v>
      </c>
      <c r="H66" s="11" t="s">
        <v>8</v>
      </c>
      <c r="I66" s="12" t="s">
        <v>9</v>
      </c>
    </row>
    <row r="67" s="1" customFormat="1" ht="15.6" spans="1:9">
      <c r="A67" s="18" t="s">
        <v>37</v>
      </c>
      <c r="B67" s="14" t="s">
        <v>38</v>
      </c>
      <c r="C67" s="15"/>
      <c r="D67" s="15"/>
      <c r="E67" s="15"/>
      <c r="F67" s="15"/>
      <c r="G67" s="15"/>
      <c r="H67" s="16"/>
      <c r="I67" s="17" t="e">
        <f t="shared" ref="I67:I79" si="7">C67/(H67-E67)</f>
        <v>#DIV/0!</v>
      </c>
    </row>
    <row r="68" s="1" customFormat="1" ht="15.6" spans="1:9">
      <c r="A68" s="18" t="s">
        <v>56</v>
      </c>
      <c r="B68" s="14" t="s">
        <v>39</v>
      </c>
      <c r="C68" s="15"/>
      <c r="D68" s="15"/>
      <c r="E68" s="15"/>
      <c r="F68" s="15"/>
      <c r="G68" s="15"/>
      <c r="H68" s="16"/>
      <c r="I68" s="17" t="e">
        <f t="shared" si="7"/>
        <v>#DIV/0!</v>
      </c>
    </row>
    <row r="69" s="1" customFormat="1" ht="15.6" spans="1:9">
      <c r="A69" s="18" t="s">
        <v>25</v>
      </c>
      <c r="B69" s="14" t="s">
        <v>42</v>
      </c>
      <c r="C69" s="15"/>
      <c r="D69" s="15"/>
      <c r="E69" s="15"/>
      <c r="F69" s="15"/>
      <c r="G69" s="15"/>
      <c r="H69" s="16"/>
      <c r="I69" s="17" t="e">
        <f t="shared" si="7"/>
        <v>#DIV/0!</v>
      </c>
    </row>
    <row r="70" s="1" customFormat="1" ht="15.6" spans="1:9">
      <c r="A70" s="18" t="s">
        <v>56</v>
      </c>
      <c r="B70" s="14" t="s">
        <v>44</v>
      </c>
      <c r="C70" s="15"/>
      <c r="D70" s="15"/>
      <c r="E70" s="15"/>
      <c r="F70" s="15"/>
      <c r="G70" s="15"/>
      <c r="H70" s="16"/>
      <c r="I70" s="17" t="e">
        <f t="shared" si="7"/>
        <v>#DIV/0!</v>
      </c>
    </row>
    <row r="71" s="1" customFormat="1" ht="15.6" spans="1:9">
      <c r="A71" s="18" t="s">
        <v>25</v>
      </c>
      <c r="B71" s="14" t="s">
        <v>45</v>
      </c>
      <c r="C71" s="15"/>
      <c r="D71" s="15"/>
      <c r="E71" s="15"/>
      <c r="F71" s="15"/>
      <c r="G71" s="15"/>
      <c r="H71" s="16"/>
      <c r="I71" s="17" t="e">
        <f t="shared" si="7"/>
        <v>#DIV/0!</v>
      </c>
    </row>
    <row r="72" s="1" customFormat="1" ht="15.6" spans="1:9">
      <c r="A72" s="18" t="s">
        <v>46</v>
      </c>
      <c r="B72" s="14" t="s">
        <v>47</v>
      </c>
      <c r="C72" s="15"/>
      <c r="D72" s="15"/>
      <c r="E72" s="15"/>
      <c r="F72" s="15"/>
      <c r="G72" s="15"/>
      <c r="H72" s="16"/>
      <c r="I72" s="17" t="e">
        <f t="shared" si="7"/>
        <v>#DIV/0!</v>
      </c>
    </row>
    <row r="73" s="1" customFormat="1" ht="15.6" spans="1:9">
      <c r="A73" s="18" t="s">
        <v>57</v>
      </c>
      <c r="B73" s="14" t="s">
        <v>49</v>
      </c>
      <c r="C73" s="15"/>
      <c r="D73" s="15"/>
      <c r="E73" s="15"/>
      <c r="F73" s="15"/>
      <c r="G73" s="15"/>
      <c r="H73" s="16"/>
      <c r="I73" s="17" t="e">
        <f t="shared" si="7"/>
        <v>#DIV/0!</v>
      </c>
    </row>
    <row r="74" s="1" customFormat="1" ht="15.6" spans="1:9">
      <c r="A74" s="18" t="s">
        <v>50</v>
      </c>
      <c r="B74" s="14" t="s">
        <v>51</v>
      </c>
      <c r="C74" s="15"/>
      <c r="D74" s="15"/>
      <c r="E74" s="15"/>
      <c r="F74" s="15"/>
      <c r="G74" s="15"/>
      <c r="H74" s="16"/>
      <c r="I74" s="17" t="e">
        <f t="shared" si="7"/>
        <v>#DIV/0!</v>
      </c>
    </row>
    <row r="75" s="1" customFormat="1" ht="15.6" spans="1:9">
      <c r="A75" s="18" t="s">
        <v>37</v>
      </c>
      <c r="B75" s="14" t="s">
        <v>52</v>
      </c>
      <c r="C75" s="15"/>
      <c r="D75" s="15"/>
      <c r="E75" s="15"/>
      <c r="F75" s="15"/>
      <c r="G75" s="15"/>
      <c r="H75" s="16"/>
      <c r="I75" s="17" t="e">
        <f t="shared" si="7"/>
        <v>#DIV/0!</v>
      </c>
    </row>
    <row r="76" s="1" customFormat="1" ht="15.6" spans="1:9">
      <c r="A76" s="30"/>
      <c r="B76" s="14" t="s">
        <v>53</v>
      </c>
      <c r="C76" s="70"/>
      <c r="D76" s="70"/>
      <c r="E76" s="71"/>
      <c r="F76" s="71"/>
      <c r="G76" s="71"/>
      <c r="H76" s="72"/>
      <c r="I76" s="73" t="e">
        <f t="shared" si="7"/>
        <v>#DIV/0!</v>
      </c>
    </row>
    <row r="77" s="1" customFormat="1" ht="15.6" spans="1:9">
      <c r="A77" s="30" t="s">
        <v>58</v>
      </c>
      <c r="B77" s="14" t="s">
        <v>54</v>
      </c>
      <c r="C77" s="70"/>
      <c r="D77" s="70"/>
      <c r="E77" s="71"/>
      <c r="F77" s="71"/>
      <c r="G77" s="71"/>
      <c r="H77" s="72"/>
      <c r="I77" s="17" t="e">
        <f t="shared" si="7"/>
        <v>#DIV/0!</v>
      </c>
    </row>
    <row r="78" s="1" customFormat="1" ht="15.6" spans="1:9">
      <c r="A78" s="30" t="s">
        <v>59</v>
      </c>
      <c r="B78" s="14" t="s">
        <v>60</v>
      </c>
      <c r="C78" s="70"/>
      <c r="D78" s="70"/>
      <c r="E78" s="71"/>
      <c r="F78" s="71"/>
      <c r="G78" s="71"/>
      <c r="H78" s="72"/>
      <c r="I78" s="17" t="e">
        <f t="shared" si="7"/>
        <v>#DIV/0!</v>
      </c>
    </row>
    <row r="79" s="1" customFormat="1" ht="15.6" spans="1:9">
      <c r="A79" s="30"/>
      <c r="B79" s="30" t="s">
        <v>8</v>
      </c>
      <c r="C79" s="20"/>
      <c r="D79" s="21"/>
      <c r="E79" s="22"/>
      <c r="F79" s="23"/>
      <c r="G79" s="24"/>
      <c r="H79" s="25"/>
      <c r="I79" s="17" t="e">
        <f t="shared" si="7"/>
        <v>#DIV/0!</v>
      </c>
    </row>
    <row r="80" s="1" customFormat="1" ht="15.6" spans="1:9">
      <c r="C80" s="26" t="s">
        <v>20</v>
      </c>
      <c r="D80" s="26"/>
      <c r="E80" s="26"/>
      <c r="F80" s="27" t="e">
        <f>(C79+D79)/(H79-E79)</f>
        <v>#DIV/0!</v>
      </c>
      <c r="G80" s="27"/>
      <c r="H80" s="27"/>
    </row>
    <row r="81" s="1" customFormat="1" ht="15.6" spans="1:8">
      <c r="C81" s="28" t="s">
        <v>21</v>
      </c>
      <c r="D81" s="28"/>
      <c r="E81" s="28"/>
      <c r="F81" s="29" t="e">
        <f>C79/(H79-E79)</f>
        <v>#DIV/0!</v>
      </c>
      <c r="G81" s="29"/>
      <c r="H81" s="29"/>
    </row>
    <row r="82" s="1" customFormat="1" ht="26" customHeight="1"/>
    <row r="83" s="1" customFormat="1" ht="15.6" hidden="1" spans="1:8">
      <c r="B83" s="32" t="s">
        <v>27</v>
      </c>
      <c r="C83" s="32"/>
      <c r="D83" s="32"/>
      <c r="E83" s="32"/>
      <c r="F83" s="32"/>
      <c r="G83" s="32"/>
    </row>
    <row r="84" s="1" customFormat="1" ht="15.6" hidden="1" spans="1:8">
      <c r="A84" s="31"/>
      <c r="B84" s="33" t="s">
        <v>28</v>
      </c>
      <c r="C84" s="34" t="s">
        <v>29</v>
      </c>
      <c r="D84" s="35" t="s">
        <v>30</v>
      </c>
      <c r="E84" s="36" t="s">
        <v>31</v>
      </c>
      <c r="F84" s="37" t="s">
        <v>32</v>
      </c>
      <c r="G84" s="33" t="s">
        <v>8</v>
      </c>
    </row>
    <row r="85" s="1" customFormat="1" ht="15.6" hidden="1" spans="1:8">
      <c r="B85" s="14" t="s">
        <v>42</v>
      </c>
      <c r="C85" s="38">
        <v>12</v>
      </c>
      <c r="D85" s="38">
        <v>3</v>
      </c>
      <c r="E85" s="74">
        <v>0</v>
      </c>
      <c r="F85" s="39">
        <v>0</v>
      </c>
      <c r="G85" s="42">
        <f t="shared" ref="G85:G93" si="8">SUM(C85:F85)</f>
        <v>15</v>
      </c>
    </row>
    <row r="86" s="1" customFormat="1" ht="15.6" hidden="1" spans="1:8">
      <c r="B86" s="14" t="s">
        <v>51</v>
      </c>
      <c r="C86" s="74">
        <v>2</v>
      </c>
      <c r="D86" s="74">
        <v>0</v>
      </c>
      <c r="E86" s="74">
        <v>0</v>
      </c>
      <c r="F86" s="74">
        <v>0</v>
      </c>
      <c r="G86" s="75">
        <f t="shared" si="8"/>
        <v>2</v>
      </c>
    </row>
    <row r="87" s="1" customFormat="1" ht="15.6" hidden="1" spans="1:8">
      <c r="B87" s="14" t="s">
        <v>45</v>
      </c>
      <c r="C87" s="76">
        <v>15</v>
      </c>
      <c r="D87" s="76">
        <v>0</v>
      </c>
      <c r="E87" s="77">
        <v>0</v>
      </c>
      <c r="F87" s="78">
        <v>0</v>
      </c>
      <c r="G87" s="42">
        <f t="shared" si="8"/>
        <v>15</v>
      </c>
    </row>
    <row r="88" s="1" customFormat="1" ht="15.6" hidden="1" spans="1:8">
      <c r="B88" s="14" t="s">
        <v>39</v>
      </c>
      <c r="C88" s="76">
        <v>8</v>
      </c>
      <c r="D88" s="76">
        <v>2</v>
      </c>
      <c r="E88" s="77">
        <v>0</v>
      </c>
      <c r="F88" s="78">
        <v>2</v>
      </c>
      <c r="G88" s="42">
        <f t="shared" si="8"/>
        <v>12</v>
      </c>
    </row>
    <row r="89" s="1" customFormat="1" ht="17" hidden="1" customHeight="1" spans="1:8">
      <c r="B89" s="14" t="s">
        <v>41</v>
      </c>
      <c r="C89" s="76">
        <v>13</v>
      </c>
      <c r="D89" s="76">
        <v>0</v>
      </c>
      <c r="E89" s="77">
        <v>0</v>
      </c>
      <c r="F89" s="78">
        <v>0</v>
      </c>
      <c r="G89" s="42">
        <f t="shared" si="8"/>
        <v>13</v>
      </c>
    </row>
    <row r="90" s="1" customFormat="1" ht="15.6" hidden="1" spans="1:8">
      <c r="B90" s="14" t="s">
        <v>44</v>
      </c>
      <c r="C90" s="76">
        <v>1</v>
      </c>
      <c r="D90" s="76">
        <v>0</v>
      </c>
      <c r="E90" s="77">
        <v>0</v>
      </c>
      <c r="F90" s="78">
        <v>4</v>
      </c>
      <c r="G90" s="40">
        <f t="shared" si="8"/>
        <v>5</v>
      </c>
    </row>
    <row r="91" s="1" customFormat="1" ht="15.6" hidden="1" spans="1:8">
      <c r="B91" s="14" t="s">
        <v>49</v>
      </c>
      <c r="C91" s="76">
        <v>17</v>
      </c>
      <c r="D91" s="76">
        <v>0</v>
      </c>
      <c r="E91" s="77">
        <v>0</v>
      </c>
      <c r="F91" s="78">
        <v>1</v>
      </c>
      <c r="G91" s="40">
        <f t="shared" si="8"/>
        <v>18</v>
      </c>
    </row>
    <row r="92" s="1" customFormat="1" ht="15.6" hidden="1" spans="1:8">
      <c r="B92" s="14" t="s">
        <v>54</v>
      </c>
      <c r="C92" s="76">
        <v>12</v>
      </c>
      <c r="D92" s="76">
        <v>0</v>
      </c>
      <c r="E92" s="77">
        <v>0</v>
      </c>
      <c r="F92" s="78">
        <v>3</v>
      </c>
      <c r="G92" s="40">
        <f t="shared" si="8"/>
        <v>15</v>
      </c>
    </row>
    <row r="93" s="1" customFormat="1" ht="15.6" hidden="1" spans="1:8">
      <c r="B93" s="14" t="s">
        <v>53</v>
      </c>
      <c r="C93" s="76">
        <v>2</v>
      </c>
      <c r="D93" s="76">
        <v>2</v>
      </c>
      <c r="E93" s="77">
        <v>0</v>
      </c>
      <c r="F93" s="78">
        <v>9</v>
      </c>
      <c r="G93" s="40">
        <f t="shared" si="8"/>
        <v>13</v>
      </c>
    </row>
    <row r="94" s="1" customFormat="1" ht="15.6" hidden="1" spans="1:8">
      <c r="B94" s="33" t="s">
        <v>8</v>
      </c>
      <c r="C94" s="79">
        <f t="shared" ref="C94:G94" si="9">SUM(C85:C93)</f>
        <v>82</v>
      </c>
      <c r="D94" s="79">
        <f t="shared" si="9"/>
        <v>7</v>
      </c>
      <c r="E94" s="75">
        <f t="shared" si="9"/>
        <v>0</v>
      </c>
      <c r="F94" s="42">
        <f t="shared" si="9"/>
        <v>19</v>
      </c>
      <c r="G94" s="40">
        <f t="shared" si="9"/>
        <v>108</v>
      </c>
    </row>
    <row r="95" s="1" customFormat="1" ht="15.6" hidden="1" spans="1:8">
      <c r="C95" s="47" t="s">
        <v>33</v>
      </c>
      <c r="D95" s="47"/>
      <c r="E95" s="48">
        <f>(C94+D94)/G94</f>
        <v>0.824074074074074</v>
      </c>
      <c r="F95" s="48"/>
    </row>
    <row r="96" s="1" customFormat="1" ht="15.6" hidden="1" spans="1:8">
      <c r="C96" s="51" t="s">
        <v>34</v>
      </c>
      <c r="D96" s="52"/>
      <c r="E96" s="53">
        <f>(C94+D94+E94)/G94</f>
        <v>0.824074074074074</v>
      </c>
      <c r="F96" s="54"/>
    </row>
    <row r="97" s="1" customFormat="1" hidden="1"/>
    <row r="98" s="1" customFormat="1" ht="15.6" hidden="1" spans="1:7">
      <c r="A98" s="31"/>
      <c r="B98" s="32" t="s">
        <v>61</v>
      </c>
      <c r="C98" s="32"/>
      <c r="D98" s="32"/>
      <c r="E98" s="32"/>
      <c r="F98" s="32"/>
      <c r="G98" s="32"/>
    </row>
    <row r="99" s="1" customFormat="1" ht="15.6" hidden="1" spans="1:7">
      <c r="B99" s="5" t="s">
        <v>28</v>
      </c>
      <c r="C99" s="80" t="s">
        <v>29</v>
      </c>
      <c r="D99" s="81" t="s">
        <v>30</v>
      </c>
      <c r="E99" s="82" t="s">
        <v>31</v>
      </c>
      <c r="F99" s="83" t="s">
        <v>32</v>
      </c>
      <c r="G99" s="5" t="s">
        <v>8</v>
      </c>
    </row>
    <row r="100" s="1" customFormat="1" ht="15.6" hidden="1" spans="1:7">
      <c r="B100" s="14" t="s">
        <v>42</v>
      </c>
      <c r="C100" s="38">
        <v>21</v>
      </c>
      <c r="D100" s="38">
        <v>4</v>
      </c>
      <c r="E100" s="74">
        <v>0</v>
      </c>
      <c r="F100" s="39">
        <v>1</v>
      </c>
      <c r="G100" s="42">
        <f t="shared" ref="G100:G106" si="10">SUM(C100:F100)</f>
        <v>26</v>
      </c>
    </row>
    <row r="101" s="1" customFormat="1" ht="17" hidden="1" customHeight="1" spans="1:7">
      <c r="B101" s="14" t="s">
        <v>45</v>
      </c>
      <c r="C101" s="38">
        <v>12</v>
      </c>
      <c r="D101" s="84">
        <v>0</v>
      </c>
      <c r="E101" s="77">
        <v>0</v>
      </c>
      <c r="F101" s="78">
        <v>2</v>
      </c>
      <c r="G101" s="42">
        <f t="shared" si="10"/>
        <v>14</v>
      </c>
    </row>
    <row r="102" s="1" customFormat="1" ht="14" hidden="1" customHeight="1" spans="1:7">
      <c r="B102" s="14" t="s">
        <v>39</v>
      </c>
      <c r="C102" s="76">
        <v>12</v>
      </c>
      <c r="D102" s="76">
        <v>1</v>
      </c>
      <c r="E102" s="77">
        <v>0</v>
      </c>
      <c r="F102" s="78">
        <v>0</v>
      </c>
      <c r="G102" s="40">
        <f t="shared" si="10"/>
        <v>13</v>
      </c>
    </row>
    <row r="103" s="1" customFormat="1" ht="14" hidden="1" customHeight="1" spans="1:7">
      <c r="B103" s="14" t="s">
        <v>44</v>
      </c>
      <c r="C103" s="76">
        <v>2</v>
      </c>
      <c r="D103" s="76">
        <v>0</v>
      </c>
      <c r="E103" s="77">
        <v>0</v>
      </c>
      <c r="F103" s="78">
        <v>8</v>
      </c>
      <c r="G103" s="40">
        <f t="shared" si="10"/>
        <v>10</v>
      </c>
    </row>
    <row r="104" s="1" customFormat="1" ht="14" hidden="1" customHeight="1" spans="1:7">
      <c r="B104" s="14" t="s">
        <v>54</v>
      </c>
      <c r="C104" s="84">
        <v>10</v>
      </c>
      <c r="D104" s="84">
        <v>0</v>
      </c>
      <c r="E104" s="77">
        <v>0</v>
      </c>
      <c r="F104" s="78">
        <v>0</v>
      </c>
      <c r="G104" s="40">
        <f t="shared" si="10"/>
        <v>10</v>
      </c>
    </row>
    <row r="105" s="1" customFormat="1" ht="14" hidden="1" customHeight="1" spans="1:7">
      <c r="B105" s="14" t="s">
        <v>49</v>
      </c>
      <c r="C105" s="76">
        <v>2</v>
      </c>
      <c r="D105" s="76">
        <v>0</v>
      </c>
      <c r="E105" s="77">
        <v>0</v>
      </c>
      <c r="F105" s="78">
        <v>0</v>
      </c>
      <c r="G105" s="40">
        <f t="shared" si="10"/>
        <v>2</v>
      </c>
    </row>
    <row r="106" s="1" customFormat="1" ht="14" hidden="1" customHeight="1" spans="1:7">
      <c r="B106" s="14" t="s">
        <v>53</v>
      </c>
      <c r="C106" s="84">
        <v>2</v>
      </c>
      <c r="D106" s="84">
        <v>0</v>
      </c>
      <c r="E106" s="77">
        <v>0</v>
      </c>
      <c r="F106" s="78">
        <v>3</v>
      </c>
      <c r="G106" s="40">
        <f t="shared" si="10"/>
        <v>5</v>
      </c>
    </row>
    <row r="107" s="1" customFormat="1" ht="14" hidden="1" customHeight="1" spans="1:7">
      <c r="B107" s="33" t="s">
        <v>8</v>
      </c>
      <c r="C107" s="43">
        <f t="shared" ref="C107:G107" si="11">SUM(C100:C106)</f>
        <v>61</v>
      </c>
      <c r="D107" s="43">
        <f t="shared" si="11"/>
        <v>5</v>
      </c>
      <c r="E107" s="75">
        <f t="shared" si="11"/>
        <v>0</v>
      </c>
      <c r="F107" s="42">
        <f t="shared" si="11"/>
        <v>14</v>
      </c>
      <c r="G107" s="40">
        <f t="shared" si="11"/>
        <v>80</v>
      </c>
    </row>
    <row r="108" s="1" customFormat="1" ht="15.6" hidden="1" spans="1:7">
      <c r="C108" s="47" t="s">
        <v>33</v>
      </c>
      <c r="D108" s="47"/>
      <c r="E108" s="48">
        <f>(C107+D107)/G107</f>
        <v>0.825</v>
      </c>
      <c r="F108" s="48"/>
    </row>
    <row r="109" s="1" customFormat="1" ht="18" hidden="1" customHeight="1" spans="1:7">
      <c r="C109" s="51" t="s">
        <v>34</v>
      </c>
      <c r="D109" s="52"/>
      <c r="E109" s="53">
        <f>(C107+D107+E107)/G107</f>
        <v>0.825</v>
      </c>
      <c r="F109" s="54"/>
    </row>
    <row r="110" s="1" customFormat="1" ht="15.6" spans="1:7">
      <c r="B110" s="32" t="s">
        <v>62</v>
      </c>
      <c r="C110" s="32"/>
      <c r="D110" s="32"/>
      <c r="E110" s="32"/>
      <c r="F110" s="32"/>
      <c r="G110" s="32"/>
    </row>
    <row r="111" s="1" customFormat="1" ht="15.6" spans="1:7">
      <c r="B111" s="33" t="s">
        <v>28</v>
      </c>
      <c r="C111" s="34" t="s">
        <v>29</v>
      </c>
      <c r="D111" s="35" t="s">
        <v>30</v>
      </c>
      <c r="E111" s="36" t="s">
        <v>31</v>
      </c>
      <c r="F111" s="37" t="s">
        <v>32</v>
      </c>
      <c r="G111" s="33" t="s">
        <v>8</v>
      </c>
    </row>
    <row r="112" s="1" customFormat="1" ht="15.6" spans="1:7">
      <c r="B112" s="14" t="s">
        <v>11</v>
      </c>
      <c r="C112" s="59"/>
      <c r="D112" s="59"/>
      <c r="E112" s="60"/>
      <c r="F112" s="60"/>
      <c r="G112" s="61">
        <f t="shared" ref="G112:G116" si="12">SUM(C112:F112)</f>
        <v>0</v>
      </c>
    </row>
    <row r="113" s="1" customFormat="1" ht="15.6" spans="2:7">
      <c r="B113" s="14" t="s">
        <v>13</v>
      </c>
      <c r="C113" s="59"/>
      <c r="D113" s="59"/>
      <c r="E113" s="60"/>
      <c r="F113" s="60"/>
      <c r="G113" s="61">
        <f t="shared" si="12"/>
        <v>0</v>
      </c>
    </row>
    <row r="114" s="1" customFormat="1" ht="16" customHeight="1" spans="2:7">
      <c r="B114" s="14" t="s">
        <v>15</v>
      </c>
      <c r="C114" s="59"/>
      <c r="D114" s="59"/>
      <c r="E114" s="60"/>
      <c r="F114" s="60"/>
      <c r="G114" s="61">
        <f t="shared" si="12"/>
        <v>0</v>
      </c>
    </row>
    <row r="115" ht="15.6" spans="2:7">
      <c r="B115" s="14" t="s">
        <v>17</v>
      </c>
      <c r="C115" s="59"/>
      <c r="D115" s="59"/>
      <c r="E115" s="60"/>
      <c r="F115" s="60"/>
      <c r="G115" s="62">
        <f t="shared" si="12"/>
        <v>0</v>
      </c>
    </row>
    <row r="116" ht="15.6" spans="2:7">
      <c r="B116" s="14" t="s">
        <v>19</v>
      </c>
      <c r="C116" s="59"/>
      <c r="D116" s="59"/>
      <c r="E116" s="60"/>
      <c r="F116" s="60"/>
      <c r="G116" s="61">
        <f t="shared" si="12"/>
        <v>0</v>
      </c>
    </row>
    <row r="117" ht="15.6" spans="2:7">
      <c r="B117" s="33" t="s">
        <v>8</v>
      </c>
      <c r="C117" s="63">
        <f t="shared" ref="C117:G117" si="13">SUM(C112:C116)</f>
        <v>0</v>
      </c>
      <c r="D117" s="63">
        <f t="shared" si="13"/>
        <v>0</v>
      </c>
      <c r="E117" s="64">
        <f t="shared" si="13"/>
        <v>0</v>
      </c>
      <c r="F117" s="65">
        <f t="shared" si="13"/>
        <v>0</v>
      </c>
      <c r="G117" s="66">
        <f t="shared" si="13"/>
        <v>0</v>
      </c>
    </row>
    <row r="118" ht="15.6" spans="2:7">
      <c r="B118" s="50"/>
      <c r="C118" s="47" t="s">
        <v>33</v>
      </c>
      <c r="D118" s="47"/>
      <c r="E118" s="48" t="e">
        <f>(C117+D117)/G117</f>
        <v>#DIV/0!</v>
      </c>
      <c r="F118" s="48"/>
      <c r="G118" s="68"/>
    </row>
    <row r="119" ht="15.6" spans="2:7">
      <c r="B119" s="50"/>
      <c r="C119" s="51" t="s">
        <v>34</v>
      </c>
      <c r="D119" s="52"/>
      <c r="E119" s="53" t="e">
        <f>(C117+D117+E117)/G117</f>
        <v>#DIV/0!</v>
      </c>
      <c r="F119" s="54"/>
      <c r="G119" s="68"/>
    </row>
    <row r="122" ht="15.6" spans="2:7">
      <c r="B122" s="32" t="s">
        <v>35</v>
      </c>
      <c r="C122" s="32"/>
      <c r="D122" s="32"/>
      <c r="E122" s="32"/>
      <c r="F122" s="32"/>
      <c r="G122" s="32"/>
    </row>
    <row r="123" ht="15.6" spans="2:7">
      <c r="B123" s="33" t="s">
        <v>28</v>
      </c>
      <c r="C123" s="34" t="s">
        <v>29</v>
      </c>
      <c r="D123" s="35" t="s">
        <v>30</v>
      </c>
      <c r="E123" s="36" t="s">
        <v>31</v>
      </c>
      <c r="F123" s="37" t="s">
        <v>32</v>
      </c>
      <c r="G123" s="33" t="s">
        <v>8</v>
      </c>
    </row>
    <row r="124" ht="15.6" spans="2:7">
      <c r="B124" s="14" t="s">
        <v>11</v>
      </c>
      <c r="C124" s="59"/>
      <c r="D124" s="59"/>
      <c r="E124" s="60"/>
      <c r="F124" s="60"/>
      <c r="G124" s="61">
        <f t="shared" ref="G124:G128" si="14">SUM(C124:F124)</f>
        <v>0</v>
      </c>
    </row>
    <row r="125" ht="15.6" spans="2:7">
      <c r="B125" s="14" t="s">
        <v>13</v>
      </c>
      <c r="C125" s="59"/>
      <c r="D125" s="59"/>
      <c r="E125" s="60"/>
      <c r="F125" s="60"/>
      <c r="G125" s="61">
        <f t="shared" si="14"/>
        <v>0</v>
      </c>
    </row>
    <row r="126" ht="15.6" spans="2:7">
      <c r="B126" s="14" t="s">
        <v>15</v>
      </c>
      <c r="C126" s="59"/>
      <c r="D126" s="59"/>
      <c r="E126" s="60"/>
      <c r="F126" s="60"/>
      <c r="G126" s="61">
        <f t="shared" si="14"/>
        <v>0</v>
      </c>
    </row>
    <row r="127" ht="15.6" spans="2:7">
      <c r="B127" s="14" t="s">
        <v>17</v>
      </c>
      <c r="C127" s="59"/>
      <c r="D127" s="59"/>
      <c r="E127" s="60"/>
      <c r="F127" s="60"/>
      <c r="G127" s="62">
        <f t="shared" si="14"/>
        <v>0</v>
      </c>
    </row>
    <row r="128" ht="15.6" spans="2:7">
      <c r="B128" s="14" t="s">
        <v>19</v>
      </c>
      <c r="C128" s="59"/>
      <c r="D128" s="59"/>
      <c r="E128" s="60"/>
      <c r="F128" s="60"/>
      <c r="G128" s="61">
        <f t="shared" si="14"/>
        <v>0</v>
      </c>
    </row>
    <row r="129" ht="15.6" spans="2:7">
      <c r="B129" s="33" t="s">
        <v>8</v>
      </c>
      <c r="C129" s="63">
        <f t="shared" ref="C129:G129" si="15">SUM(C124:C128)</f>
        <v>0</v>
      </c>
      <c r="D129" s="63">
        <f t="shared" si="15"/>
        <v>0</v>
      </c>
      <c r="E129" s="64">
        <f t="shared" si="15"/>
        <v>0</v>
      </c>
      <c r="F129" s="65">
        <f t="shared" si="15"/>
        <v>0</v>
      </c>
      <c r="G129" s="66">
        <f t="shared" si="15"/>
        <v>0</v>
      </c>
    </row>
    <row r="130" ht="15.6" spans="2:7">
      <c r="B130" s="50"/>
      <c r="C130" s="47" t="s">
        <v>33</v>
      </c>
      <c r="D130" s="47"/>
      <c r="E130" s="48" t="e">
        <f>(C129+D129)/G129</f>
        <v>#DIV/0!</v>
      </c>
      <c r="F130" s="48"/>
      <c r="G130" s="68"/>
    </row>
    <row r="131" ht="15.6" spans="2:7">
      <c r="B131" s="50"/>
      <c r="C131" s="51" t="s">
        <v>34</v>
      </c>
      <c r="D131" s="52"/>
      <c r="E131" s="53" t="e">
        <f>(C129+D129+E129)/G129</f>
        <v>#DIV/0!</v>
      </c>
      <c r="F131" s="54"/>
      <c r="G131" s="68"/>
    </row>
    <row r="134" ht="15.6" spans="2:7">
      <c r="B134" s="32" t="s">
        <v>63</v>
      </c>
      <c r="C134" s="32"/>
      <c r="D134" s="32"/>
      <c r="E134" s="32"/>
      <c r="F134" s="32"/>
      <c r="G134" s="32"/>
    </row>
    <row r="135" ht="15.6" spans="2:7">
      <c r="B135" s="33" t="s">
        <v>28</v>
      </c>
      <c r="C135" s="34" t="s">
        <v>29</v>
      </c>
      <c r="D135" s="35" t="s">
        <v>30</v>
      </c>
      <c r="E135" s="36" t="s">
        <v>31</v>
      </c>
      <c r="F135" s="37" t="s">
        <v>32</v>
      </c>
      <c r="G135" s="33" t="s">
        <v>8</v>
      </c>
    </row>
    <row r="136" ht="15.6" spans="2:7">
      <c r="B136" s="14" t="s">
        <v>38</v>
      </c>
      <c r="C136" s="38"/>
      <c r="D136" s="38"/>
      <c r="E136" s="74"/>
      <c r="F136" s="39"/>
      <c r="G136" s="42">
        <f t="shared" ref="G136:G144" si="16">SUM(C136:F136)</f>
        <v>0</v>
      </c>
    </row>
    <row r="137" ht="15.6" spans="2:7">
      <c r="B137" s="14" t="s">
        <v>39</v>
      </c>
      <c r="C137" s="74"/>
      <c r="D137" s="74"/>
      <c r="E137" s="74"/>
      <c r="F137" s="74"/>
      <c r="G137" s="75">
        <f t="shared" si="16"/>
        <v>0</v>
      </c>
    </row>
    <row r="138" ht="15.6" spans="2:7">
      <c r="B138" s="14" t="s">
        <v>41</v>
      </c>
      <c r="C138" s="76"/>
      <c r="D138" s="76"/>
      <c r="E138" s="77"/>
      <c r="F138" s="78"/>
      <c r="G138" s="42">
        <f t="shared" si="16"/>
        <v>0</v>
      </c>
    </row>
    <row r="139" ht="15.6" spans="2:7">
      <c r="B139" s="14" t="s">
        <v>42</v>
      </c>
      <c r="C139" s="76"/>
      <c r="D139" s="76"/>
      <c r="E139" s="77"/>
      <c r="F139" s="78"/>
      <c r="G139" s="42">
        <f t="shared" si="16"/>
        <v>0</v>
      </c>
    </row>
    <row r="140" ht="15.6" spans="2:7">
      <c r="B140" s="14" t="s">
        <v>44</v>
      </c>
      <c r="C140" s="76"/>
      <c r="D140" s="76"/>
      <c r="E140" s="77"/>
      <c r="F140" s="78"/>
      <c r="G140" s="42">
        <f t="shared" si="16"/>
        <v>0</v>
      </c>
    </row>
    <row r="141" ht="15.6" spans="2:7">
      <c r="B141" s="14" t="s">
        <v>45</v>
      </c>
      <c r="C141" s="76"/>
      <c r="D141" s="76"/>
      <c r="E141" s="77"/>
      <c r="F141" s="78"/>
      <c r="G141" s="40">
        <f t="shared" si="16"/>
        <v>0</v>
      </c>
    </row>
    <row r="142" ht="15.6" spans="2:7">
      <c r="B142" s="14" t="s">
        <v>47</v>
      </c>
      <c r="C142" s="76"/>
      <c r="D142" s="76"/>
      <c r="E142" s="77"/>
      <c r="F142" s="78"/>
      <c r="G142" s="40">
        <f t="shared" si="16"/>
        <v>0</v>
      </c>
    </row>
    <row r="143" ht="15.6" spans="2:7">
      <c r="B143" s="14" t="s">
        <v>49</v>
      </c>
      <c r="C143" s="76"/>
      <c r="D143" s="76"/>
      <c r="E143" s="77"/>
      <c r="F143" s="78"/>
      <c r="G143" s="40">
        <f t="shared" si="16"/>
        <v>0</v>
      </c>
    </row>
    <row r="144" ht="15.6" spans="2:7">
      <c r="B144" s="14" t="s">
        <v>51</v>
      </c>
      <c r="C144" s="76"/>
      <c r="D144" s="76"/>
      <c r="E144" s="77"/>
      <c r="F144" s="78"/>
      <c r="G144" s="40">
        <f t="shared" si="16"/>
        <v>0</v>
      </c>
    </row>
    <row r="145" ht="15.6" spans="2:7">
      <c r="B145" s="14" t="s">
        <v>52</v>
      </c>
      <c r="C145" s="76"/>
      <c r="D145" s="76"/>
      <c r="E145" s="77"/>
      <c r="F145" s="78"/>
      <c r="G145" s="40">
        <f>SUM(G130:G144)</f>
        <v>0</v>
      </c>
    </row>
    <row r="146" ht="15.6" spans="2:7">
      <c r="B146" s="14" t="s">
        <v>53</v>
      </c>
      <c r="C146" s="76"/>
      <c r="D146" s="76"/>
      <c r="E146" s="77"/>
      <c r="F146" s="78"/>
      <c r="G146" s="40">
        <f>SUM(G145:G145)</f>
        <v>0</v>
      </c>
    </row>
    <row r="147" ht="15.6" spans="2:7">
      <c r="B147" s="14" t="s">
        <v>54</v>
      </c>
      <c r="C147" s="76"/>
      <c r="D147" s="76"/>
      <c r="E147" s="77"/>
      <c r="F147" s="78"/>
      <c r="G147" s="40">
        <f>SUM(G146:G146)</f>
        <v>0</v>
      </c>
    </row>
    <row r="148" ht="15.6" spans="2:7">
      <c r="B148" s="33" t="s">
        <v>8</v>
      </c>
      <c r="C148" s="63">
        <f t="shared" ref="C148:G148" si="17">SUM(C143:C147)</f>
        <v>0</v>
      </c>
      <c r="D148" s="63">
        <f t="shared" si="17"/>
        <v>0</v>
      </c>
      <c r="E148" s="64">
        <f t="shared" si="17"/>
        <v>0</v>
      </c>
      <c r="F148" s="65">
        <f t="shared" si="17"/>
        <v>0</v>
      </c>
      <c r="G148" s="66">
        <f t="shared" si="17"/>
        <v>0</v>
      </c>
    </row>
    <row r="149" ht="15.6" spans="2:7">
      <c r="B149"/>
      <c r="C149" s="47" t="s">
        <v>33</v>
      </c>
      <c r="D149" s="47"/>
      <c r="E149" s="48" t="e">
        <f>(C148+D148)/G148</f>
        <v>#DIV/0!</v>
      </c>
      <c r="F149" s="48"/>
      <c r="G149"/>
    </row>
    <row r="150" ht="15.6" spans="2:7">
      <c r="B150"/>
      <c r="C150" s="51" t="s">
        <v>34</v>
      </c>
      <c r="D150" s="52"/>
      <c r="E150" s="53" t="e">
        <f>(C148+D148+E148)/G148</f>
        <v>#DIV/0!</v>
      </c>
      <c r="F150" s="54"/>
      <c r="G150"/>
    </row>
    <row r="152" ht="15.6" spans="2:7">
      <c r="B152" s="32" t="s">
        <v>61</v>
      </c>
      <c r="C152" s="32"/>
      <c r="D152" s="32"/>
      <c r="E152" s="32"/>
      <c r="F152" s="32"/>
      <c r="G152" s="32"/>
    </row>
    <row r="153" ht="15.6" spans="2:7">
      <c r="B153" s="33" t="s">
        <v>28</v>
      </c>
      <c r="C153" s="34" t="s">
        <v>29</v>
      </c>
      <c r="D153" s="35" t="s">
        <v>30</v>
      </c>
      <c r="E153" s="36" t="s">
        <v>31</v>
      </c>
      <c r="F153" s="37" t="s">
        <v>32</v>
      </c>
      <c r="G153" s="33" t="s">
        <v>8</v>
      </c>
    </row>
    <row r="154" ht="15.6" spans="2:7">
      <c r="B154" s="14" t="s">
        <v>38</v>
      </c>
      <c r="C154" s="38"/>
      <c r="D154" s="38"/>
      <c r="E154" s="74"/>
      <c r="F154" s="39"/>
      <c r="G154" s="42">
        <f t="shared" ref="G154:G162" si="18">SUM(C154:F154)</f>
        <v>0</v>
      </c>
    </row>
    <row r="155" ht="15.6" spans="2:7">
      <c r="B155" s="14" t="s">
        <v>39</v>
      </c>
      <c r="C155" s="74"/>
      <c r="D155" s="74"/>
      <c r="E155" s="74"/>
      <c r="F155" s="74"/>
      <c r="G155" s="75">
        <f t="shared" si="18"/>
        <v>0</v>
      </c>
    </row>
    <row r="156" ht="15.6" spans="2:7">
      <c r="B156" s="14" t="s">
        <v>60</v>
      </c>
      <c r="C156" s="76"/>
      <c r="D156" s="76"/>
      <c r="E156" s="77"/>
      <c r="F156" s="78"/>
      <c r="G156" s="42">
        <f t="shared" si="18"/>
        <v>0</v>
      </c>
    </row>
    <row r="157" ht="15.6" spans="2:7">
      <c r="B157" s="14" t="s">
        <v>42</v>
      </c>
      <c r="C157" s="76"/>
      <c r="D157" s="76"/>
      <c r="E157" s="77"/>
      <c r="F157" s="78"/>
      <c r="G157" s="42">
        <f t="shared" si="18"/>
        <v>0</v>
      </c>
    </row>
    <row r="158" ht="15.6" spans="2:7">
      <c r="B158" s="14" t="s">
        <v>44</v>
      </c>
      <c r="C158" s="76"/>
      <c r="D158" s="76"/>
      <c r="E158" s="77"/>
      <c r="F158" s="78"/>
      <c r="G158" s="42">
        <f t="shared" si="18"/>
        <v>0</v>
      </c>
    </row>
    <row r="159" ht="15.6" spans="2:7">
      <c r="B159" s="14" t="s">
        <v>45</v>
      </c>
      <c r="C159" s="76"/>
      <c r="D159" s="76"/>
      <c r="E159" s="77"/>
      <c r="F159" s="78"/>
      <c r="G159" s="40">
        <f t="shared" si="18"/>
        <v>0</v>
      </c>
    </row>
    <row r="160" ht="15.6" spans="2:7">
      <c r="B160" s="14" t="s">
        <v>47</v>
      </c>
      <c r="C160" s="76"/>
      <c r="D160" s="76"/>
      <c r="E160" s="77"/>
      <c r="F160" s="78"/>
      <c r="G160" s="40">
        <f t="shared" si="18"/>
        <v>0</v>
      </c>
    </row>
    <row r="161" ht="15.6" spans="2:7">
      <c r="B161" s="14" t="s">
        <v>49</v>
      </c>
      <c r="C161" s="76"/>
      <c r="D161" s="76"/>
      <c r="E161" s="77"/>
      <c r="F161" s="78"/>
      <c r="G161" s="40">
        <f t="shared" si="18"/>
        <v>0</v>
      </c>
    </row>
    <row r="162" ht="15.6" spans="2:7">
      <c r="B162" s="14" t="s">
        <v>51</v>
      </c>
      <c r="C162" s="76"/>
      <c r="D162" s="76"/>
      <c r="E162" s="77"/>
      <c r="F162" s="78"/>
      <c r="G162" s="40">
        <f t="shared" si="18"/>
        <v>0</v>
      </c>
    </row>
    <row r="163" ht="15.6" spans="2:7">
      <c r="B163" s="14" t="s">
        <v>52</v>
      </c>
      <c r="C163" s="76"/>
      <c r="D163" s="76"/>
      <c r="E163" s="77"/>
      <c r="F163" s="78"/>
      <c r="G163" s="40">
        <f>SUM(G148:G162)</f>
        <v>0</v>
      </c>
    </row>
    <row r="164" ht="15.6" spans="2:7">
      <c r="B164" s="14" t="s">
        <v>53</v>
      </c>
      <c r="C164" s="76"/>
      <c r="D164" s="76"/>
      <c r="E164" s="77"/>
      <c r="F164" s="78"/>
      <c r="G164" s="40">
        <f>SUM(G163:G163)</f>
        <v>0</v>
      </c>
    </row>
    <row r="165" ht="15.6" spans="2:7">
      <c r="B165" s="14" t="s">
        <v>54</v>
      </c>
      <c r="C165" s="76"/>
      <c r="D165" s="76"/>
      <c r="E165" s="77"/>
      <c r="F165" s="78"/>
      <c r="G165" s="40">
        <f>SUM(G164:G164)</f>
        <v>0</v>
      </c>
    </row>
    <row r="166" ht="15.6" spans="2:7">
      <c r="B166" s="33" t="s">
        <v>8</v>
      </c>
      <c r="C166" s="63">
        <f t="shared" ref="C166:G166" si="19">SUM(C161:C165)</f>
        <v>0</v>
      </c>
      <c r="D166" s="63">
        <f t="shared" si="19"/>
        <v>0</v>
      </c>
      <c r="E166" s="64">
        <f t="shared" si="19"/>
        <v>0</v>
      </c>
      <c r="F166" s="65">
        <f t="shared" si="19"/>
        <v>0</v>
      </c>
      <c r="G166" s="66">
        <f t="shared" si="19"/>
        <v>0</v>
      </c>
    </row>
    <row r="167" ht="15.6" spans="2:7">
      <c r="B167"/>
      <c r="C167" s="47" t="s">
        <v>33</v>
      </c>
      <c r="D167" s="47"/>
      <c r="E167" s="48" t="e">
        <f>(C166+D166)/G166</f>
        <v>#DIV/0!</v>
      </c>
      <c r="F167" s="48"/>
      <c r="G167"/>
    </row>
    <row r="168" ht="15.6" spans="2:7">
      <c r="B168"/>
      <c r="C168" s="51" t="s">
        <v>34</v>
      </c>
      <c r="D168" s="52"/>
      <c r="E168" s="53" t="e">
        <f>(C166+D166+E166)/G166</f>
        <v>#DIV/0!</v>
      </c>
      <c r="F168" s="54"/>
      <c r="G168"/>
    </row>
  </sheetData>
  <mergeCells count="60">
    <mergeCell ref="A2:I2"/>
    <mergeCell ref="C10:E10"/>
    <mergeCell ref="F10:H10"/>
    <mergeCell ref="C11:E11"/>
    <mergeCell ref="F11:H11"/>
    <mergeCell ref="A14:I14"/>
    <mergeCell ref="C22:E22"/>
    <mergeCell ref="F22:H22"/>
    <mergeCell ref="C23:E23"/>
    <mergeCell ref="F23:H23"/>
    <mergeCell ref="B25:G25"/>
    <mergeCell ref="C33:D33"/>
    <mergeCell ref="E33:F33"/>
    <mergeCell ref="C34:D34"/>
    <mergeCell ref="E34:F34"/>
    <mergeCell ref="B36:G36"/>
    <mergeCell ref="C44:D44"/>
    <mergeCell ref="E44:F44"/>
    <mergeCell ref="C45:D45"/>
    <mergeCell ref="E45:F45"/>
    <mergeCell ref="A47:I47"/>
    <mergeCell ref="C62:E62"/>
    <mergeCell ref="F62:H62"/>
    <mergeCell ref="C63:E63"/>
    <mergeCell ref="F63:H63"/>
    <mergeCell ref="A65:I65"/>
    <mergeCell ref="C80:E80"/>
    <mergeCell ref="F80:H80"/>
    <mergeCell ref="C81:E81"/>
    <mergeCell ref="F81:H81"/>
    <mergeCell ref="B83:G83"/>
    <mergeCell ref="C95:D95"/>
    <mergeCell ref="E95:F95"/>
    <mergeCell ref="C96:D96"/>
    <mergeCell ref="E96:F96"/>
    <mergeCell ref="B98:G98"/>
    <mergeCell ref="C108:D108"/>
    <mergeCell ref="E108:F108"/>
    <mergeCell ref="C109:D109"/>
    <mergeCell ref="E109:F109"/>
    <mergeCell ref="B110:G110"/>
    <mergeCell ref="C118:D118"/>
    <mergeCell ref="E118:F118"/>
    <mergeCell ref="C119:D119"/>
    <mergeCell ref="E119:F119"/>
    <mergeCell ref="B122:G122"/>
    <mergeCell ref="C130:D130"/>
    <mergeCell ref="E130:F130"/>
    <mergeCell ref="C131:D131"/>
    <mergeCell ref="E131:F131"/>
    <mergeCell ref="B134:G134"/>
    <mergeCell ref="C149:D149"/>
    <mergeCell ref="E149:F149"/>
    <mergeCell ref="C150:D150"/>
    <mergeCell ref="E150:F150"/>
    <mergeCell ref="B152:G152"/>
    <mergeCell ref="C167:D167"/>
    <mergeCell ref="E167:F167"/>
    <mergeCell ref="C168:D168"/>
    <mergeCell ref="E168:F1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2026-08-06T18:23:00Z</dcterms:created>
  <dcterms:modified xsi:type="dcterms:W3CDTF">2026-08-10T17:29:08Z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54B6C97897AF472AA742E47D8F59955C_11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